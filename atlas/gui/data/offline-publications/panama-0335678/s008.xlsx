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ocuments\Work and Things 2025\CJD paper\Revisions Oct 2025\TO SEND TO REVIEWERS\"/>
    </mc:Choice>
  </mc:AlternateContent>
  <xr:revisionPtr revIDLastSave="0" documentId="13_ncr:1_{1EFB8DC8-BA94-4F5B-BAF1-12EECC7B68D0}" xr6:coauthVersionLast="47" xr6:coauthVersionMax="47" xr10:uidLastSave="{00000000-0000-0000-0000-000000000000}"/>
  <bookViews>
    <workbookView xWindow="-108" yWindow="-108" windowWidth="23256" windowHeight="12456" xr2:uid="{A39ABC23-865C-45BE-B51F-08E2D42ECA24}"/>
  </bookViews>
  <sheets>
    <sheet name="S2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</calcChain>
</file>

<file path=xl/sharedStrings.xml><?xml version="1.0" encoding="utf-8"?>
<sst xmlns="http://schemas.openxmlformats.org/spreadsheetml/2006/main" count="306" uniqueCount="75">
  <si>
    <t>Study</t>
  </si>
  <si>
    <t>Norr 1991</t>
  </si>
  <si>
    <t>Archaeology Site</t>
  </si>
  <si>
    <t>Sitio Sierra (AG-3)</t>
  </si>
  <si>
    <t>Odocoileus virginianus</t>
  </si>
  <si>
    <t>Pitahaya (IS-3)</t>
  </si>
  <si>
    <t>Vidor</t>
  </si>
  <si>
    <t>Region</t>
  </si>
  <si>
    <t>Pacific Panama</t>
  </si>
  <si>
    <t>Pacific Costa Rica</t>
  </si>
  <si>
    <t>Chira</t>
  </si>
  <si>
    <r>
      <t xml:space="preserve">Dicotyles tajacu </t>
    </r>
    <r>
      <rPr>
        <sz val="11"/>
        <color theme="1"/>
        <rFont val="Aptos Narrow"/>
        <family val="2"/>
        <scheme val="minor"/>
      </rPr>
      <t xml:space="preserve">(formerly </t>
    </r>
    <r>
      <rPr>
        <i/>
        <sz val="11"/>
        <color theme="1"/>
        <rFont val="Aptos Narrow"/>
        <family val="2"/>
        <scheme val="minor"/>
      </rPr>
      <t>Tayassu tajacu</t>
    </r>
    <r>
      <rPr>
        <sz val="11"/>
        <color theme="1"/>
        <rFont val="Aptos Narrow"/>
        <family val="2"/>
        <scheme val="minor"/>
      </rPr>
      <t>)</t>
    </r>
  </si>
  <si>
    <t>Collared peccary</t>
  </si>
  <si>
    <t>Cerro Brujo (CA-3)</t>
  </si>
  <si>
    <t>Caribbean Panama</t>
  </si>
  <si>
    <t>Dasyprocta punctata</t>
  </si>
  <si>
    <t>Agouti</t>
  </si>
  <si>
    <t>nd</t>
  </si>
  <si>
    <t>Iguanidae</t>
  </si>
  <si>
    <t>Iguana</t>
  </si>
  <si>
    <t>Colombidae</t>
  </si>
  <si>
    <t>Dove</t>
  </si>
  <si>
    <t>Muscovy duck</t>
  </si>
  <si>
    <t>Cairina moschata</t>
  </si>
  <si>
    <r>
      <rPr>
        <i/>
        <sz val="11"/>
        <color theme="1"/>
        <rFont val="Aptos Narrow"/>
        <family val="2"/>
        <scheme val="minor"/>
      </rPr>
      <t xml:space="preserve">Sciades dowii </t>
    </r>
    <r>
      <rPr>
        <sz val="11"/>
        <color theme="1"/>
        <rFont val="Aptos Narrow"/>
        <family val="2"/>
        <scheme val="minor"/>
      </rPr>
      <t xml:space="preserve">(formerly </t>
    </r>
    <r>
      <rPr>
        <i/>
        <sz val="11"/>
        <color theme="1"/>
        <rFont val="Aptos Narrow"/>
        <family val="2"/>
        <scheme val="minor"/>
      </rPr>
      <t>Selenaspis dowii</t>
    </r>
    <r>
      <rPr>
        <sz val="11"/>
        <color theme="1"/>
        <rFont val="Aptos Narrow"/>
        <family val="2"/>
        <scheme val="minor"/>
      </rPr>
      <t>)</t>
    </r>
  </si>
  <si>
    <t>Actinopterygii</t>
  </si>
  <si>
    <t>Maize</t>
  </si>
  <si>
    <t>Zea mays</t>
  </si>
  <si>
    <t>Ananas comosus</t>
  </si>
  <si>
    <t>Pineapple</t>
  </si>
  <si>
    <t>Bactris gasipaes</t>
  </si>
  <si>
    <t>Peach palm</t>
  </si>
  <si>
    <t>Manihot esculenta</t>
  </si>
  <si>
    <t>Manioc</t>
  </si>
  <si>
    <t>Yam</t>
  </si>
  <si>
    <t>Dioscorea sp.</t>
  </si>
  <si>
    <t>Nance</t>
  </si>
  <si>
    <t>Byrsonima crassifolia</t>
  </si>
  <si>
    <t>Bean</t>
  </si>
  <si>
    <t>Lima bean</t>
  </si>
  <si>
    <t>Phaseolus vulgaris</t>
  </si>
  <si>
    <t>Phaseolus lunatus</t>
  </si>
  <si>
    <t>Sugiyama et al. 2020</t>
  </si>
  <si>
    <r>
      <rPr>
        <sz val="11"/>
        <color theme="1"/>
        <rFont val="Aptos Narrow"/>
        <family val="2"/>
        <scheme val="minor"/>
      </rPr>
      <t xml:space="preserve">cf. </t>
    </r>
    <r>
      <rPr>
        <i/>
        <sz val="11"/>
        <color theme="1"/>
        <rFont val="Aptos Narrow"/>
        <family val="2"/>
        <scheme val="minor"/>
      </rPr>
      <t>Cairina</t>
    </r>
  </si>
  <si>
    <t>Duck</t>
  </si>
  <si>
    <t>Dendrocygna viduata</t>
  </si>
  <si>
    <t>White-faced whistling duck</t>
  </si>
  <si>
    <r>
      <t xml:space="preserve">Dendrocygna </t>
    </r>
    <r>
      <rPr>
        <sz val="11"/>
        <color theme="1"/>
        <rFont val="Aptos Narrow"/>
        <family val="2"/>
        <scheme val="minor"/>
      </rPr>
      <t xml:space="preserve">cf. </t>
    </r>
    <r>
      <rPr>
        <i/>
        <sz val="11"/>
        <color theme="1"/>
        <rFont val="Aptos Narrow"/>
        <family val="2"/>
        <scheme val="minor"/>
      </rPr>
      <t>autumnalis</t>
    </r>
  </si>
  <si>
    <t>Black-bellied whistling duck</t>
  </si>
  <si>
    <t>Colinus cristatus</t>
  </si>
  <si>
    <t>Crested bobwhite</t>
  </si>
  <si>
    <t>White-tailed deer</t>
  </si>
  <si>
    <t>Aramides cajanea</t>
  </si>
  <si>
    <t>Grey-cowled wood rail</t>
  </si>
  <si>
    <r>
      <t>Cerro Juan D</t>
    </r>
    <r>
      <rPr>
        <sz val="11"/>
        <color theme="1"/>
        <rFont val="Calibri"/>
        <family val="2"/>
      </rPr>
      <t>í</t>
    </r>
    <r>
      <rPr>
        <sz val="11"/>
        <color theme="1"/>
        <rFont val="Aptos Narrow"/>
        <family val="2"/>
        <scheme val="minor"/>
      </rPr>
      <t>az (LS-3)</t>
    </r>
  </si>
  <si>
    <t>Crested guan</t>
  </si>
  <si>
    <t>Dendrocygna autumnalis</t>
  </si>
  <si>
    <t>Muscovy duck (Wild?)</t>
  </si>
  <si>
    <t>Muscovy duck (Domesticated?)</t>
  </si>
  <si>
    <t>Common Name</t>
  </si>
  <si>
    <t>Scientific Name</t>
  </si>
  <si>
    <r>
      <rPr>
        <b/>
        <i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15</t>
    </r>
    <r>
      <rPr>
        <b/>
        <sz val="11"/>
        <color theme="1"/>
        <rFont val="Aptos Narrow"/>
        <family val="2"/>
        <scheme val="minor"/>
      </rPr>
      <t>N (</t>
    </r>
    <r>
      <rPr>
        <b/>
        <sz val="11"/>
        <color theme="1"/>
        <rFont val="Times New Roman"/>
        <family val="1"/>
      </rPr>
      <t>‰</t>
    </r>
    <r>
      <rPr>
        <b/>
        <sz val="11"/>
        <color theme="1"/>
        <rFont val="Aptos Narrow"/>
        <family val="2"/>
      </rPr>
      <t>, vs AIR)</t>
    </r>
  </si>
  <si>
    <r>
      <rPr>
        <b/>
        <i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 (‰, vs VPDB)</t>
    </r>
  </si>
  <si>
    <t>%N (wt)</t>
  </si>
  <si>
    <t>%C (wt)</t>
  </si>
  <si>
    <t>modern, Central Panama</t>
  </si>
  <si>
    <t>Panama</t>
  </si>
  <si>
    <r>
      <t>Flapnose sea catfish</t>
    </r>
    <r>
      <rPr>
        <vertAlign val="superscript"/>
        <sz val="11"/>
        <color theme="1"/>
        <rFont val="Aptos Narrow"/>
        <family val="2"/>
        <scheme val="minor"/>
      </rPr>
      <t>1</t>
    </r>
  </si>
  <si>
    <r>
      <t xml:space="preserve">1 </t>
    </r>
    <r>
      <rPr>
        <sz val="11"/>
        <color theme="1"/>
        <rFont val="Aptos Narrow"/>
        <family val="2"/>
        <scheme val="minor"/>
      </rPr>
      <t>This species frequents brackish and river waters and may have been caught from the river.</t>
    </r>
  </si>
  <si>
    <t>Atomic C:N</t>
  </si>
  <si>
    <t>Penelope purpurascens</t>
  </si>
  <si>
    <r>
      <t>Fish (unidentified)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</si>
  <si>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rPr>
        <vertAlign val="superscript"/>
        <sz val="11"/>
        <color theme="1"/>
        <rFont val="Aptos Narrow"/>
        <family val="2"/>
        <scheme val="minor"/>
      </rPr>
      <t xml:space="preserve">* </t>
    </r>
    <r>
      <rPr>
        <sz val="11"/>
        <color theme="1"/>
        <rFont val="Aptos Narrow"/>
        <family val="2"/>
        <scheme val="minor"/>
      </rPr>
      <t>A possibly modern sea turtle (Cheloniidae) was excluded from the [105] dataset due to insufficient contextual data. Scarlet macaws and parrots were excluded from the [124] dataset due to due the fact that some were found in human burials as offerings or other special contexts, and it is unlikely they were consumed.</t>
    </r>
  </si>
  <si>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Page 198 of [105] notes that these included Scombridae, identified by Richard Cooke, but did not specify which and said the others were unidentifiable fragments.</t>
    </r>
  </si>
  <si>
    <r>
      <t>S2 Table. Carbon (</t>
    </r>
    <r>
      <rPr>
        <b/>
        <i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C) and nitrogen (</t>
    </r>
    <r>
      <rPr>
        <b/>
        <i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15</t>
    </r>
    <r>
      <rPr>
        <b/>
        <sz val="11"/>
        <color theme="1"/>
        <rFont val="Aptos Narrow"/>
        <family val="2"/>
        <scheme val="minor"/>
      </rPr>
      <t xml:space="preserve">N) isotope data from bone collagen from archaeological fauna and modern plants in the isthmus area, including Costa Rica and Panama. Norr's [105] modern plant </t>
    </r>
    <r>
      <rPr>
        <b/>
        <i/>
        <sz val="11"/>
        <color theme="1"/>
        <rFont val="Calibri"/>
        <family val="2"/>
      </rPr>
      <t>δ</t>
    </r>
    <r>
      <rPr>
        <b/>
        <vertAlign val="superscript"/>
        <sz val="11"/>
        <color theme="1"/>
        <rFont val="Aptos Narrow"/>
        <family val="2"/>
        <scheme val="minor"/>
      </rPr>
      <t>13</t>
    </r>
    <r>
      <rPr>
        <b/>
        <sz val="11"/>
        <color theme="1"/>
        <rFont val="Aptos Narrow"/>
        <family val="2"/>
        <scheme val="minor"/>
      </rPr>
      <t>C values have been adjusted here by +1.5</t>
    </r>
    <r>
      <rPr>
        <b/>
        <sz val="11"/>
        <color theme="1"/>
        <rFont val="Times New Roman"/>
        <family val="1"/>
      </rPr>
      <t>‰</t>
    </r>
    <r>
      <rPr>
        <b/>
        <sz val="11"/>
        <color theme="1"/>
        <rFont val="Aptos Narrow"/>
        <family val="2"/>
      </rPr>
      <t xml:space="preserve"> to account for the Suess effect [176], as she specified that her reported values were not corrected for the difference between preindustrial and modern decrease in </t>
    </r>
    <r>
      <rPr>
        <b/>
        <vertAlign val="superscript"/>
        <sz val="11"/>
        <color theme="1"/>
        <rFont val="Aptos Narrow"/>
        <family val="2"/>
      </rPr>
      <t>13</t>
    </r>
    <r>
      <rPr>
        <b/>
        <sz val="11"/>
        <color theme="1"/>
        <rFont val="Aptos Narrow"/>
        <family val="2"/>
      </rPr>
      <t>CO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 xml:space="preserve">  (vs </t>
    </r>
    <r>
      <rPr>
        <b/>
        <vertAlign val="superscript"/>
        <sz val="11"/>
        <color theme="1"/>
        <rFont val="Aptos Narrow"/>
        <family val="2"/>
      </rPr>
      <t>12</t>
    </r>
    <r>
      <rPr>
        <b/>
        <sz val="11"/>
        <color theme="1"/>
        <rFont val="Aptos Narrow"/>
        <family val="2"/>
      </rPr>
      <t>CO</t>
    </r>
    <r>
      <rPr>
        <b/>
        <vertAlign val="subscript"/>
        <sz val="11"/>
        <color theme="1"/>
        <rFont val="Aptos Narrow"/>
        <family val="2"/>
      </rPr>
      <t>2</t>
    </r>
    <r>
      <rPr>
        <b/>
        <sz val="11"/>
        <color theme="1"/>
        <rFont val="Aptos Narrow"/>
        <family val="2"/>
      </rPr>
      <t>) due to the burning of fossil fuels.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</si>
</sst>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i/>
      <sz val="11"/>
      <color theme="1"/>
      <name val="Calibri"/>
      <family val="2"/>
    </font>
    <font>
      <b/>
      <vertAlign val="superscript"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perscript"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D738-BDBA-41C1-89A5-10F3EC8A3AA7}">
  <dimension ref="A1:J63"/>
  <sheetViews>
    <sheetView tabSelected="1" zoomScaleNormal="100" workbookViewId="0">
      <selection activeCell="C10" sqref="C10"/>
    </sheetView>
  </sheetViews>
  <sheetFormatPr defaultRowHeight="14.4" x14ac:dyDescent="0.3"/>
  <cols>
    <col min="1" max="1" width="18.5546875" customWidth="1"/>
    <col min="2" max="2" width="28.6640625" customWidth="1"/>
    <col min="3" max="3" width="34.6640625" customWidth="1"/>
    <col min="4" max="4" width="16.33203125" bestFit="1" customWidth="1"/>
    <col min="5" max="5" width="16.44140625" bestFit="1" customWidth="1"/>
    <col min="6" max="6" width="11.88671875" customWidth="1"/>
    <col min="9" max="9" width="21.33203125" bestFit="1" customWidth="1"/>
    <col min="10" max="10" width="16.44140625" bestFit="1" customWidth="1"/>
  </cols>
  <sheetData>
    <row r="1" spans="1:10" ht="16.8" x14ac:dyDescent="0.35">
      <c r="A1" s="5" t="s">
        <v>74</v>
      </c>
    </row>
    <row r="3" spans="1:10" ht="16.2" x14ac:dyDescent="0.3">
      <c r="A3" s="6" t="s">
        <v>0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69</v>
      </c>
      <c r="G3" s="6" t="s">
        <v>63</v>
      </c>
      <c r="H3" s="6" t="s">
        <v>64</v>
      </c>
      <c r="I3" s="6" t="s">
        <v>2</v>
      </c>
      <c r="J3" s="6" t="s">
        <v>7</v>
      </c>
    </row>
    <row r="4" spans="1:10" x14ac:dyDescent="0.3">
      <c r="A4" t="s">
        <v>1</v>
      </c>
      <c r="B4" t="s">
        <v>51</v>
      </c>
      <c r="C4" s="1" t="s">
        <v>4</v>
      </c>
      <c r="D4" s="2">
        <v>2.2999999999999998</v>
      </c>
      <c r="E4" s="2">
        <v>-18.5</v>
      </c>
      <c r="F4" s="2">
        <v>3.3</v>
      </c>
      <c r="G4" s="7">
        <v>14</v>
      </c>
      <c r="H4" s="2">
        <v>30.3</v>
      </c>
      <c r="I4" t="s">
        <v>3</v>
      </c>
      <c r="J4" t="s">
        <v>8</v>
      </c>
    </row>
    <row r="5" spans="1:10" x14ac:dyDescent="0.3">
      <c r="A5" t="s">
        <v>1</v>
      </c>
      <c r="B5" t="s">
        <v>51</v>
      </c>
      <c r="C5" s="1" t="s">
        <v>4</v>
      </c>
      <c r="D5" s="2">
        <v>3.6</v>
      </c>
      <c r="E5" s="2">
        <v>-21.2</v>
      </c>
      <c r="F5" s="2">
        <v>3.3</v>
      </c>
      <c r="G5" s="7">
        <v>15</v>
      </c>
      <c r="H5" s="2">
        <v>42.2</v>
      </c>
      <c r="I5" t="s">
        <v>5</v>
      </c>
      <c r="J5" t="s">
        <v>8</v>
      </c>
    </row>
    <row r="6" spans="1:10" x14ac:dyDescent="0.3">
      <c r="A6" t="s">
        <v>1</v>
      </c>
      <c r="B6" t="s">
        <v>51</v>
      </c>
      <c r="C6" s="1" t="s">
        <v>4</v>
      </c>
      <c r="D6" s="2">
        <v>3.5</v>
      </c>
      <c r="E6" s="2">
        <v>-20.6</v>
      </c>
      <c r="F6" s="2">
        <v>3.2</v>
      </c>
      <c r="G6" s="7">
        <v>13</v>
      </c>
      <c r="H6" s="2">
        <v>35.9</v>
      </c>
      <c r="I6" t="s">
        <v>6</v>
      </c>
      <c r="J6" t="s">
        <v>9</v>
      </c>
    </row>
    <row r="7" spans="1:10" x14ac:dyDescent="0.3">
      <c r="A7" t="s">
        <v>1</v>
      </c>
      <c r="B7" t="s">
        <v>51</v>
      </c>
      <c r="C7" s="1" t="s">
        <v>4</v>
      </c>
      <c r="D7" s="7">
        <v>3</v>
      </c>
      <c r="E7" s="2">
        <v>-19.7</v>
      </c>
      <c r="F7" s="2">
        <v>3.2</v>
      </c>
      <c r="G7" s="7">
        <v>13.7</v>
      </c>
      <c r="H7" s="2">
        <v>37.1</v>
      </c>
      <c r="I7" t="s">
        <v>6</v>
      </c>
      <c r="J7" t="s">
        <v>9</v>
      </c>
    </row>
    <row r="8" spans="1:10" x14ac:dyDescent="0.3">
      <c r="A8" t="s">
        <v>1</v>
      </c>
      <c r="B8" t="s">
        <v>51</v>
      </c>
      <c r="C8" s="1" t="s">
        <v>4</v>
      </c>
      <c r="D8" s="2">
        <v>3.2</v>
      </c>
      <c r="E8" s="2">
        <v>-20.8</v>
      </c>
      <c r="F8" s="2">
        <v>3.2</v>
      </c>
      <c r="G8" s="7">
        <v>14.7</v>
      </c>
      <c r="H8" s="7">
        <v>40</v>
      </c>
      <c r="I8" t="s">
        <v>6</v>
      </c>
      <c r="J8" t="s">
        <v>9</v>
      </c>
    </row>
    <row r="9" spans="1:10" x14ac:dyDescent="0.3">
      <c r="A9" t="s">
        <v>1</v>
      </c>
      <c r="B9" t="s">
        <v>51</v>
      </c>
      <c r="C9" s="1" t="s">
        <v>4</v>
      </c>
      <c r="D9" s="2">
        <v>2.5</v>
      </c>
      <c r="E9" s="7">
        <v>-20</v>
      </c>
      <c r="F9" s="2">
        <v>3.3</v>
      </c>
      <c r="G9" s="7">
        <v>14.8</v>
      </c>
      <c r="H9" s="2">
        <v>41.8</v>
      </c>
      <c r="I9" t="s">
        <v>6</v>
      </c>
      <c r="J9" t="s">
        <v>9</v>
      </c>
    </row>
    <row r="10" spans="1:10" x14ac:dyDescent="0.3">
      <c r="A10" t="s">
        <v>1</v>
      </c>
      <c r="B10" t="s">
        <v>51</v>
      </c>
      <c r="C10" s="1" t="s">
        <v>4</v>
      </c>
      <c r="D10" s="7">
        <v>4</v>
      </c>
      <c r="E10" s="2">
        <v>-19.2</v>
      </c>
      <c r="F10" s="2">
        <v>3.2</v>
      </c>
      <c r="G10" s="7">
        <v>15</v>
      </c>
      <c r="H10" s="2">
        <v>41.6</v>
      </c>
      <c r="I10" t="s">
        <v>6</v>
      </c>
      <c r="J10" t="s">
        <v>9</v>
      </c>
    </row>
    <row r="11" spans="1:10" x14ac:dyDescent="0.3">
      <c r="A11" t="s">
        <v>1</v>
      </c>
      <c r="B11" t="s">
        <v>51</v>
      </c>
      <c r="C11" s="1" t="s">
        <v>4</v>
      </c>
      <c r="D11" s="2">
        <v>3.2</v>
      </c>
      <c r="E11" s="2">
        <v>-22.2</v>
      </c>
      <c r="F11" s="2">
        <v>3.1</v>
      </c>
      <c r="G11" s="7">
        <v>10.7</v>
      </c>
      <c r="H11" s="2">
        <v>28.8</v>
      </c>
      <c r="I11" t="s">
        <v>10</v>
      </c>
      <c r="J11" t="s">
        <v>9</v>
      </c>
    </row>
    <row r="12" spans="1:10" x14ac:dyDescent="0.3">
      <c r="A12" t="s">
        <v>1</v>
      </c>
      <c r="B12" t="s">
        <v>51</v>
      </c>
      <c r="C12" s="1" t="s">
        <v>4</v>
      </c>
      <c r="D12" s="2">
        <v>2.8</v>
      </c>
      <c r="E12" s="2">
        <v>-21.7</v>
      </c>
      <c r="F12" s="2">
        <v>3.2</v>
      </c>
      <c r="G12" s="7">
        <v>13.4</v>
      </c>
      <c r="H12" s="2">
        <v>36.4</v>
      </c>
      <c r="I12" t="s">
        <v>10</v>
      </c>
      <c r="J12" t="s">
        <v>9</v>
      </c>
    </row>
    <row r="13" spans="1:10" x14ac:dyDescent="0.3">
      <c r="A13" t="s">
        <v>1</v>
      </c>
      <c r="B13" t="s">
        <v>12</v>
      </c>
      <c r="C13" s="1" t="s">
        <v>11</v>
      </c>
      <c r="D13" s="2">
        <v>3.2</v>
      </c>
      <c r="E13" s="2">
        <v>-22.2</v>
      </c>
      <c r="F13" s="2">
        <v>3.3</v>
      </c>
      <c r="G13" s="7">
        <v>12.6</v>
      </c>
      <c r="H13" s="2">
        <v>35.799999999999997</v>
      </c>
      <c r="I13" t="s">
        <v>13</v>
      </c>
      <c r="J13" t="s">
        <v>14</v>
      </c>
    </row>
    <row r="14" spans="1:10" x14ac:dyDescent="0.3">
      <c r="A14" t="s">
        <v>1</v>
      </c>
      <c r="B14" t="s">
        <v>16</v>
      </c>
      <c r="C14" s="1" t="s">
        <v>15</v>
      </c>
      <c r="D14" s="7">
        <v>4</v>
      </c>
      <c r="E14" s="2">
        <v>-21.2</v>
      </c>
      <c r="F14" s="2">
        <v>3.2</v>
      </c>
      <c r="G14" s="2" t="s">
        <v>17</v>
      </c>
      <c r="H14" s="2" t="s">
        <v>17</v>
      </c>
      <c r="I14" t="s">
        <v>13</v>
      </c>
      <c r="J14" t="s">
        <v>14</v>
      </c>
    </row>
    <row r="15" spans="1:10" x14ac:dyDescent="0.3">
      <c r="A15" t="s">
        <v>1</v>
      </c>
      <c r="B15" t="s">
        <v>19</v>
      </c>
      <c r="C15" t="s">
        <v>18</v>
      </c>
      <c r="D15" s="2">
        <v>5.6</v>
      </c>
      <c r="E15" s="2">
        <v>-19.7</v>
      </c>
      <c r="F15" s="2">
        <v>3.3</v>
      </c>
      <c r="G15" s="7">
        <v>10.8</v>
      </c>
      <c r="H15" s="2">
        <v>30.3</v>
      </c>
      <c r="I15" t="s">
        <v>6</v>
      </c>
      <c r="J15" t="s">
        <v>9</v>
      </c>
    </row>
    <row r="16" spans="1:10" x14ac:dyDescent="0.3">
      <c r="A16" t="s">
        <v>1</v>
      </c>
      <c r="B16" t="s">
        <v>19</v>
      </c>
      <c r="C16" t="s">
        <v>18</v>
      </c>
      <c r="D16" s="2">
        <v>3.9</v>
      </c>
      <c r="E16" s="2">
        <v>-21.6</v>
      </c>
      <c r="F16" s="2">
        <v>3.3</v>
      </c>
      <c r="G16" s="7">
        <v>13</v>
      </c>
      <c r="H16" s="2">
        <v>36.299999999999997</v>
      </c>
      <c r="I16" t="s">
        <v>6</v>
      </c>
      <c r="J16" t="s">
        <v>9</v>
      </c>
    </row>
    <row r="17" spans="1:10" x14ac:dyDescent="0.3">
      <c r="A17" t="s">
        <v>1</v>
      </c>
      <c r="B17" t="s">
        <v>19</v>
      </c>
      <c r="C17" t="s">
        <v>18</v>
      </c>
      <c r="D17" s="2">
        <v>4.3</v>
      </c>
      <c r="E17" s="2">
        <v>-21.3</v>
      </c>
      <c r="F17" s="2">
        <v>3.3</v>
      </c>
      <c r="G17" s="7">
        <v>12.6</v>
      </c>
      <c r="H17" s="2">
        <v>35.4</v>
      </c>
      <c r="I17" t="s">
        <v>6</v>
      </c>
      <c r="J17" t="s">
        <v>9</v>
      </c>
    </row>
    <row r="18" spans="1:10" x14ac:dyDescent="0.3">
      <c r="A18" t="s">
        <v>1</v>
      </c>
      <c r="B18" t="s">
        <v>19</v>
      </c>
      <c r="C18" t="s">
        <v>18</v>
      </c>
      <c r="D18" s="2">
        <v>5.8</v>
      </c>
      <c r="E18" s="2">
        <v>-19.600000000000001</v>
      </c>
      <c r="F18" s="2">
        <v>3.2</v>
      </c>
      <c r="G18" s="7">
        <v>13.7</v>
      </c>
      <c r="H18" s="7">
        <v>38</v>
      </c>
      <c r="I18" t="s">
        <v>6</v>
      </c>
      <c r="J18" t="s">
        <v>9</v>
      </c>
    </row>
    <row r="19" spans="1:10" x14ac:dyDescent="0.3">
      <c r="A19" t="s">
        <v>1</v>
      </c>
      <c r="B19" t="s">
        <v>21</v>
      </c>
      <c r="C19" t="s">
        <v>20</v>
      </c>
      <c r="D19" s="2">
        <v>2.7</v>
      </c>
      <c r="E19" s="2">
        <v>-20.8</v>
      </c>
      <c r="F19" s="2">
        <v>3.3</v>
      </c>
      <c r="G19" s="7">
        <v>7.6</v>
      </c>
      <c r="H19" s="2">
        <v>21.9</v>
      </c>
      <c r="I19" t="s">
        <v>6</v>
      </c>
      <c r="J19" t="s">
        <v>9</v>
      </c>
    </row>
    <row r="20" spans="1:10" x14ac:dyDescent="0.3">
      <c r="A20" t="s">
        <v>1</v>
      </c>
      <c r="B20" t="s">
        <v>22</v>
      </c>
      <c r="C20" s="1" t="s">
        <v>23</v>
      </c>
      <c r="D20" s="2">
        <v>5.7</v>
      </c>
      <c r="E20" s="2">
        <v>-11.6</v>
      </c>
      <c r="F20" s="2">
        <v>3.3</v>
      </c>
      <c r="G20" s="7">
        <v>10.8</v>
      </c>
      <c r="H20" s="2">
        <v>30.6</v>
      </c>
      <c r="I20" t="s">
        <v>3</v>
      </c>
      <c r="J20" t="s">
        <v>8</v>
      </c>
    </row>
    <row r="21" spans="1:10" ht="16.2" x14ac:dyDescent="0.3">
      <c r="A21" t="s">
        <v>1</v>
      </c>
      <c r="B21" t="s">
        <v>67</v>
      </c>
      <c r="C21" t="s">
        <v>24</v>
      </c>
      <c r="D21" s="2">
        <v>11.5</v>
      </c>
      <c r="E21" s="2">
        <v>-12.6</v>
      </c>
      <c r="F21" s="2">
        <v>3.3</v>
      </c>
      <c r="G21" s="7">
        <v>9.6999999999999993</v>
      </c>
      <c r="H21" s="2">
        <v>27.5</v>
      </c>
      <c r="I21" t="s">
        <v>3</v>
      </c>
      <c r="J21" t="s">
        <v>8</v>
      </c>
    </row>
    <row r="22" spans="1:10" ht="16.2" x14ac:dyDescent="0.3">
      <c r="A22" t="s">
        <v>1</v>
      </c>
      <c r="B22" t="s">
        <v>71</v>
      </c>
      <c r="C22" t="s">
        <v>25</v>
      </c>
      <c r="D22" s="2">
        <v>15.2</v>
      </c>
      <c r="E22" s="2">
        <v>-9.6</v>
      </c>
      <c r="F22" s="2">
        <v>3.2</v>
      </c>
      <c r="G22" s="7">
        <v>14.2</v>
      </c>
      <c r="H22" s="2">
        <v>39.4</v>
      </c>
      <c r="I22" t="s">
        <v>10</v>
      </c>
      <c r="J22" t="s">
        <v>9</v>
      </c>
    </row>
    <row r="23" spans="1:10" ht="16.2" x14ac:dyDescent="0.3">
      <c r="A23" t="s">
        <v>1</v>
      </c>
      <c r="B23" t="s">
        <v>71</v>
      </c>
      <c r="C23" t="s">
        <v>25</v>
      </c>
      <c r="D23" s="2">
        <v>11.9</v>
      </c>
      <c r="E23" s="2">
        <v>-10.1</v>
      </c>
      <c r="F23" s="2">
        <v>3.2</v>
      </c>
      <c r="G23" s="7">
        <v>11.8</v>
      </c>
      <c r="H23" s="2">
        <v>32.700000000000003</v>
      </c>
      <c r="I23" t="s">
        <v>10</v>
      </c>
      <c r="J23" t="s">
        <v>9</v>
      </c>
    </row>
    <row r="24" spans="1:10" ht="16.2" x14ac:dyDescent="0.3">
      <c r="A24" t="s">
        <v>1</v>
      </c>
      <c r="B24" t="s">
        <v>71</v>
      </c>
      <c r="C24" t="s">
        <v>25</v>
      </c>
      <c r="D24" s="2">
        <v>13.4</v>
      </c>
      <c r="E24" s="2">
        <v>-9.6</v>
      </c>
      <c r="F24" s="2">
        <v>3.2</v>
      </c>
      <c r="G24" s="7">
        <v>14.5</v>
      </c>
      <c r="H24" s="7">
        <v>40</v>
      </c>
      <c r="I24" t="s">
        <v>10</v>
      </c>
      <c r="J24" t="s">
        <v>9</v>
      </c>
    </row>
    <row r="25" spans="1:10" ht="16.2" x14ac:dyDescent="0.3">
      <c r="A25" t="s">
        <v>1</v>
      </c>
      <c r="B25" t="s">
        <v>71</v>
      </c>
      <c r="C25" t="s">
        <v>25</v>
      </c>
      <c r="D25" s="2">
        <v>12.5</v>
      </c>
      <c r="E25" s="2">
        <v>-9.1</v>
      </c>
      <c r="F25" s="2">
        <v>3.2</v>
      </c>
      <c r="G25" s="7">
        <v>14.2</v>
      </c>
      <c r="H25" s="2">
        <v>39.1</v>
      </c>
      <c r="I25" t="s">
        <v>10</v>
      </c>
      <c r="J25" t="s">
        <v>9</v>
      </c>
    </row>
    <row r="26" spans="1:10" ht="16.2" x14ac:dyDescent="0.3">
      <c r="A26" t="s">
        <v>1</v>
      </c>
      <c r="B26" t="s">
        <v>71</v>
      </c>
      <c r="C26" t="s">
        <v>25</v>
      </c>
      <c r="D26" s="2">
        <v>10.9</v>
      </c>
      <c r="E26" s="2">
        <v>-9.8000000000000007</v>
      </c>
      <c r="F26" s="2">
        <v>3.4</v>
      </c>
      <c r="G26" s="7">
        <v>5.2</v>
      </c>
      <c r="H26" s="2">
        <v>15.1</v>
      </c>
      <c r="I26" t="s">
        <v>6</v>
      </c>
      <c r="J26" t="s">
        <v>8</v>
      </c>
    </row>
    <row r="27" spans="1:10" ht="16.2" x14ac:dyDescent="0.3">
      <c r="A27" t="s">
        <v>1</v>
      </c>
      <c r="B27" t="s">
        <v>71</v>
      </c>
      <c r="C27" t="s">
        <v>25</v>
      </c>
      <c r="D27" s="2">
        <v>13.6</v>
      </c>
      <c r="E27" s="2">
        <v>-9.5</v>
      </c>
      <c r="F27" s="2">
        <v>3.2</v>
      </c>
      <c r="G27" s="7">
        <v>11.5</v>
      </c>
      <c r="H27" s="2">
        <v>31.9</v>
      </c>
      <c r="I27" t="s">
        <v>6</v>
      </c>
      <c r="J27" t="s">
        <v>8</v>
      </c>
    </row>
    <row r="28" spans="1:10" ht="16.2" x14ac:dyDescent="0.3">
      <c r="A28" t="s">
        <v>1</v>
      </c>
      <c r="B28" t="s">
        <v>71</v>
      </c>
      <c r="C28" t="s">
        <v>25</v>
      </c>
      <c r="D28" s="7">
        <v>12</v>
      </c>
      <c r="E28" s="7">
        <v>-9</v>
      </c>
      <c r="F28" s="2">
        <v>3.2</v>
      </c>
      <c r="G28" s="7">
        <v>11.9</v>
      </c>
      <c r="H28" s="7">
        <v>32.200000000000003</v>
      </c>
      <c r="I28" t="s">
        <v>6</v>
      </c>
      <c r="J28" t="s">
        <v>8</v>
      </c>
    </row>
    <row r="29" spans="1:10" ht="16.2" x14ac:dyDescent="0.3">
      <c r="A29" t="s">
        <v>1</v>
      </c>
      <c r="B29" t="s">
        <v>71</v>
      </c>
      <c r="C29" t="s">
        <v>25</v>
      </c>
      <c r="D29" s="2">
        <v>14.4</v>
      </c>
      <c r="E29" s="2">
        <v>-10.199999999999999</v>
      </c>
      <c r="F29" s="2">
        <v>3.3</v>
      </c>
      <c r="G29" s="7">
        <v>7.5</v>
      </c>
      <c r="H29" s="2">
        <v>21.6</v>
      </c>
      <c r="I29" t="s">
        <v>6</v>
      </c>
      <c r="J29" t="s">
        <v>8</v>
      </c>
    </row>
    <row r="30" spans="1:10" x14ac:dyDescent="0.3">
      <c r="A30" t="s">
        <v>1</v>
      </c>
      <c r="B30" t="s">
        <v>26</v>
      </c>
      <c r="C30" s="1" t="s">
        <v>27</v>
      </c>
      <c r="D30" s="2" t="s">
        <v>17</v>
      </c>
      <c r="E30" s="2">
        <f>-9.7+1.5</f>
        <v>-8.1999999999999993</v>
      </c>
      <c r="F30" s="2">
        <v>34.5</v>
      </c>
      <c r="G30" s="7">
        <v>1.5</v>
      </c>
      <c r="H30" s="2">
        <v>43.3</v>
      </c>
      <c r="I30" t="s">
        <v>65</v>
      </c>
      <c r="J30" t="s">
        <v>66</v>
      </c>
    </row>
    <row r="31" spans="1:10" x14ac:dyDescent="0.3">
      <c r="A31" t="s">
        <v>1</v>
      </c>
      <c r="B31" t="s">
        <v>26</v>
      </c>
      <c r="C31" s="1" t="s">
        <v>27</v>
      </c>
      <c r="D31" s="2">
        <v>1.8</v>
      </c>
      <c r="E31" s="2">
        <f>-9.6+1.5</f>
        <v>-8.1</v>
      </c>
      <c r="F31" s="2">
        <v>33.5</v>
      </c>
      <c r="G31" s="7">
        <v>1.6</v>
      </c>
      <c r="H31" s="2">
        <v>44.7</v>
      </c>
      <c r="I31" t="s">
        <v>65</v>
      </c>
      <c r="J31" t="s">
        <v>66</v>
      </c>
    </row>
    <row r="32" spans="1:10" x14ac:dyDescent="0.3">
      <c r="A32" t="s">
        <v>1</v>
      </c>
      <c r="B32" t="s">
        <v>26</v>
      </c>
      <c r="C32" s="1" t="s">
        <v>27</v>
      </c>
      <c r="D32" s="2" t="s">
        <v>17</v>
      </c>
      <c r="E32" s="2">
        <f>-10.1+1.5</f>
        <v>-8.6</v>
      </c>
      <c r="F32" s="7">
        <v>42</v>
      </c>
      <c r="G32" s="7">
        <v>1.3</v>
      </c>
      <c r="H32" s="2">
        <v>45.7</v>
      </c>
      <c r="I32" t="s">
        <v>65</v>
      </c>
      <c r="J32" t="s">
        <v>66</v>
      </c>
    </row>
    <row r="33" spans="1:10" x14ac:dyDescent="0.3">
      <c r="A33" t="s">
        <v>1</v>
      </c>
      <c r="B33" t="s">
        <v>26</v>
      </c>
      <c r="C33" s="1" t="s">
        <v>27</v>
      </c>
      <c r="D33" s="2">
        <v>1.4</v>
      </c>
      <c r="E33" s="2">
        <f>-9.8+1.5</f>
        <v>-8.3000000000000007</v>
      </c>
      <c r="F33" s="2">
        <v>36.5</v>
      </c>
      <c r="G33" s="7">
        <v>1.7</v>
      </c>
      <c r="H33" s="2">
        <v>44.8</v>
      </c>
      <c r="I33" t="s">
        <v>65</v>
      </c>
      <c r="J33" t="s">
        <v>66</v>
      </c>
    </row>
    <row r="34" spans="1:10" x14ac:dyDescent="0.3">
      <c r="A34" t="s">
        <v>1</v>
      </c>
      <c r="B34" t="s">
        <v>29</v>
      </c>
      <c r="C34" s="1" t="s">
        <v>28</v>
      </c>
      <c r="D34" s="2" t="s">
        <v>17</v>
      </c>
      <c r="E34" s="2">
        <f>-13.2+1.5</f>
        <v>-11.7</v>
      </c>
      <c r="F34" s="2">
        <v>64.099999999999994</v>
      </c>
      <c r="G34" s="7">
        <v>0.8</v>
      </c>
      <c r="H34" s="2">
        <v>45.2</v>
      </c>
      <c r="I34" t="s">
        <v>65</v>
      </c>
      <c r="J34" t="s">
        <v>66</v>
      </c>
    </row>
    <row r="35" spans="1:10" x14ac:dyDescent="0.3">
      <c r="A35" t="s">
        <v>1</v>
      </c>
      <c r="B35" t="s">
        <v>31</v>
      </c>
      <c r="C35" s="1" t="s">
        <v>30</v>
      </c>
      <c r="D35" s="2">
        <v>2.4</v>
      </c>
      <c r="E35" s="2">
        <f>-27.1+1.5</f>
        <v>-25.6</v>
      </c>
      <c r="F35" s="2">
        <v>41.3</v>
      </c>
      <c r="G35" s="7">
        <v>1.9</v>
      </c>
      <c r="H35" s="2">
        <v>53.5</v>
      </c>
      <c r="I35" t="s">
        <v>65</v>
      </c>
      <c r="J35" t="s">
        <v>66</v>
      </c>
    </row>
    <row r="36" spans="1:10" x14ac:dyDescent="0.3">
      <c r="A36" t="s">
        <v>1</v>
      </c>
      <c r="B36" t="s">
        <v>33</v>
      </c>
      <c r="C36" s="1" t="s">
        <v>32</v>
      </c>
      <c r="D36" s="2" t="s">
        <v>17</v>
      </c>
      <c r="E36" s="2">
        <f>-26.1+1.5</f>
        <v>-24.6</v>
      </c>
      <c r="F36" s="2">
        <v>181.9</v>
      </c>
      <c r="G36" s="7">
        <v>0.3</v>
      </c>
      <c r="H36" s="7">
        <v>42</v>
      </c>
      <c r="I36" t="s">
        <v>65</v>
      </c>
      <c r="J36" t="s">
        <v>66</v>
      </c>
    </row>
    <row r="37" spans="1:10" x14ac:dyDescent="0.3">
      <c r="A37" t="s">
        <v>1</v>
      </c>
      <c r="B37" t="s">
        <v>34</v>
      </c>
      <c r="C37" s="1" t="s">
        <v>35</v>
      </c>
      <c r="D37" s="2">
        <v>1.9</v>
      </c>
      <c r="E37" s="2">
        <f>-28.6+1.5</f>
        <v>-27.1</v>
      </c>
      <c r="F37" s="2">
        <v>40.200000000000003</v>
      </c>
      <c r="G37" s="7">
        <v>1.3</v>
      </c>
      <c r="H37" s="2">
        <v>40.200000000000003</v>
      </c>
      <c r="I37" t="s">
        <v>65</v>
      </c>
      <c r="J37" t="s">
        <v>66</v>
      </c>
    </row>
    <row r="38" spans="1:10" x14ac:dyDescent="0.3">
      <c r="A38" t="s">
        <v>1</v>
      </c>
      <c r="B38" t="s">
        <v>36</v>
      </c>
      <c r="C38" s="1" t="s">
        <v>37</v>
      </c>
      <c r="D38" s="2" t="s">
        <v>17</v>
      </c>
      <c r="E38" s="2">
        <f>-28.3+1.5</f>
        <v>-26.8</v>
      </c>
      <c r="F38" s="2">
        <v>108.8</v>
      </c>
      <c r="G38" s="7">
        <v>0.6</v>
      </c>
      <c r="H38" s="2">
        <v>54.2</v>
      </c>
      <c r="I38" t="s">
        <v>65</v>
      </c>
      <c r="J38" t="s">
        <v>66</v>
      </c>
    </row>
    <row r="39" spans="1:10" x14ac:dyDescent="0.3">
      <c r="A39" t="s">
        <v>1</v>
      </c>
      <c r="B39" t="s">
        <v>38</v>
      </c>
      <c r="C39" s="1" t="s">
        <v>40</v>
      </c>
      <c r="D39" s="2">
        <v>0.5</v>
      </c>
      <c r="E39" s="2">
        <f>-28.3+1.5</f>
        <v>-26.8</v>
      </c>
      <c r="F39" s="2">
        <v>16.7</v>
      </c>
      <c r="G39" s="7">
        <v>3.4</v>
      </c>
      <c r="H39" s="2">
        <v>44.3</v>
      </c>
      <c r="I39" t="s">
        <v>65</v>
      </c>
      <c r="J39" t="s">
        <v>66</v>
      </c>
    </row>
    <row r="40" spans="1:10" x14ac:dyDescent="0.3">
      <c r="A40" t="s">
        <v>1</v>
      </c>
      <c r="B40" t="s">
        <v>38</v>
      </c>
      <c r="C40" s="1" t="s">
        <v>40</v>
      </c>
      <c r="D40" s="7">
        <v>0</v>
      </c>
      <c r="E40" s="2">
        <f>-28.6+1.5</f>
        <v>-27.1</v>
      </c>
      <c r="F40" s="7">
        <v>16</v>
      </c>
      <c r="G40" s="7">
        <v>3.2</v>
      </c>
      <c r="H40" s="7">
        <v>44.4</v>
      </c>
      <c r="I40" t="s">
        <v>65</v>
      </c>
      <c r="J40" t="s">
        <v>66</v>
      </c>
    </row>
    <row r="41" spans="1:10" x14ac:dyDescent="0.3">
      <c r="A41" t="s">
        <v>1</v>
      </c>
      <c r="B41" t="s">
        <v>39</v>
      </c>
      <c r="C41" s="1" t="s">
        <v>41</v>
      </c>
      <c r="D41" s="2">
        <v>-2.2000000000000002</v>
      </c>
      <c r="E41" s="7">
        <f>-28+1.5</f>
        <v>-26.5</v>
      </c>
      <c r="F41" s="2">
        <v>14.7</v>
      </c>
      <c r="G41" s="7">
        <v>3.5</v>
      </c>
      <c r="H41" s="7">
        <v>44</v>
      </c>
      <c r="I41" t="s">
        <v>65</v>
      </c>
      <c r="J41" t="s">
        <v>66</v>
      </c>
    </row>
    <row r="42" spans="1:10" x14ac:dyDescent="0.3">
      <c r="A42" t="s">
        <v>42</v>
      </c>
      <c r="B42" t="s">
        <v>44</v>
      </c>
      <c r="C42" s="1" t="s">
        <v>43</v>
      </c>
      <c r="D42" s="2">
        <v>10.7</v>
      </c>
      <c r="E42" s="7">
        <v>-13.9</v>
      </c>
      <c r="F42" s="2">
        <v>3.5</v>
      </c>
      <c r="G42" s="7">
        <v>10.9</v>
      </c>
      <c r="H42" s="7">
        <v>32.4</v>
      </c>
      <c r="I42" t="s">
        <v>3</v>
      </c>
      <c r="J42" t="s">
        <v>8</v>
      </c>
    </row>
    <row r="43" spans="1:10" x14ac:dyDescent="0.3">
      <c r="A43" t="s">
        <v>42</v>
      </c>
      <c r="B43" t="s">
        <v>44</v>
      </c>
      <c r="C43" s="1" t="s">
        <v>43</v>
      </c>
      <c r="D43" s="2">
        <v>7.9</v>
      </c>
      <c r="E43" s="7">
        <v>-14.4</v>
      </c>
      <c r="F43" s="2">
        <v>3.5</v>
      </c>
      <c r="G43" s="7">
        <v>11</v>
      </c>
      <c r="H43" s="7">
        <v>32.6</v>
      </c>
      <c r="I43" t="s">
        <v>3</v>
      </c>
      <c r="J43" t="s">
        <v>8</v>
      </c>
    </row>
    <row r="44" spans="1:10" x14ac:dyDescent="0.3">
      <c r="A44" t="s">
        <v>42</v>
      </c>
      <c r="B44" t="s">
        <v>58</v>
      </c>
      <c r="C44" s="1" t="s">
        <v>23</v>
      </c>
      <c r="D44" s="2">
        <v>6.8</v>
      </c>
      <c r="E44" s="7">
        <v>-11.5</v>
      </c>
      <c r="F44" s="2">
        <v>3.3</v>
      </c>
      <c r="G44" s="7">
        <v>13.6</v>
      </c>
      <c r="H44" s="7">
        <v>39</v>
      </c>
      <c r="I44" t="s">
        <v>3</v>
      </c>
      <c r="J44" t="s">
        <v>8</v>
      </c>
    </row>
    <row r="45" spans="1:10" x14ac:dyDescent="0.3">
      <c r="A45" t="s">
        <v>42</v>
      </c>
      <c r="B45" t="s">
        <v>46</v>
      </c>
      <c r="C45" s="1" t="s">
        <v>45</v>
      </c>
      <c r="D45" s="2">
        <v>5.3</v>
      </c>
      <c r="E45" s="7">
        <v>-13.9</v>
      </c>
      <c r="F45" s="2">
        <v>3.2</v>
      </c>
      <c r="G45" s="7">
        <v>14.5</v>
      </c>
      <c r="H45" s="7">
        <v>39.6</v>
      </c>
      <c r="I45" t="s">
        <v>3</v>
      </c>
      <c r="J45" t="s">
        <v>8</v>
      </c>
    </row>
    <row r="46" spans="1:10" x14ac:dyDescent="0.3">
      <c r="A46" t="s">
        <v>42</v>
      </c>
      <c r="B46" t="s">
        <v>48</v>
      </c>
      <c r="C46" s="1" t="s">
        <v>47</v>
      </c>
      <c r="D46" s="7">
        <v>4</v>
      </c>
      <c r="E46" s="7">
        <v>-16.8</v>
      </c>
      <c r="F46" s="2">
        <v>3.2</v>
      </c>
      <c r="G46" s="7">
        <v>14</v>
      </c>
      <c r="H46" s="7">
        <v>38.700000000000003</v>
      </c>
      <c r="I46" t="s">
        <v>3</v>
      </c>
      <c r="J46" t="s">
        <v>8</v>
      </c>
    </row>
    <row r="47" spans="1:10" x14ac:dyDescent="0.3">
      <c r="A47" t="s">
        <v>42</v>
      </c>
      <c r="B47" t="s">
        <v>50</v>
      </c>
      <c r="C47" s="1" t="s">
        <v>49</v>
      </c>
      <c r="D47" s="2">
        <v>7.2</v>
      </c>
      <c r="E47" s="7">
        <v>-13.1</v>
      </c>
      <c r="F47" s="2">
        <v>3.5</v>
      </c>
      <c r="G47" s="7">
        <v>12.6</v>
      </c>
      <c r="H47" s="7">
        <v>37.5</v>
      </c>
      <c r="I47" t="s">
        <v>3</v>
      </c>
      <c r="J47" t="s">
        <v>8</v>
      </c>
    </row>
    <row r="48" spans="1:10" x14ac:dyDescent="0.3">
      <c r="A48" t="s">
        <v>42</v>
      </c>
      <c r="B48" t="s">
        <v>51</v>
      </c>
      <c r="C48" s="1" t="s">
        <v>4</v>
      </c>
      <c r="D48" s="2">
        <v>4.9000000000000004</v>
      </c>
      <c r="E48" s="7">
        <v>-19.5</v>
      </c>
      <c r="F48" s="2">
        <v>3.3</v>
      </c>
      <c r="G48" s="7">
        <v>13.2</v>
      </c>
      <c r="H48" s="7">
        <v>37.1</v>
      </c>
      <c r="I48" t="s">
        <v>3</v>
      </c>
      <c r="J48" t="s">
        <v>8</v>
      </c>
    </row>
    <row r="49" spans="1:10" x14ac:dyDescent="0.3">
      <c r="A49" t="s">
        <v>42</v>
      </c>
      <c r="B49" t="s">
        <v>51</v>
      </c>
      <c r="C49" s="1" t="s">
        <v>4</v>
      </c>
      <c r="D49" s="2">
        <v>5.5</v>
      </c>
      <c r="E49" s="7">
        <v>-19.899999999999999</v>
      </c>
      <c r="F49" s="2">
        <v>3.3</v>
      </c>
      <c r="G49" s="7">
        <v>14.2</v>
      </c>
      <c r="H49" s="7">
        <v>39.6</v>
      </c>
      <c r="I49" t="s">
        <v>3</v>
      </c>
      <c r="J49" t="s">
        <v>8</v>
      </c>
    </row>
    <row r="50" spans="1:10" x14ac:dyDescent="0.3">
      <c r="A50" t="s">
        <v>42</v>
      </c>
      <c r="B50" t="s">
        <v>51</v>
      </c>
      <c r="C50" s="1" t="s">
        <v>4</v>
      </c>
      <c r="D50" s="2">
        <v>5.8</v>
      </c>
      <c r="E50" s="7">
        <v>-19.899999999999999</v>
      </c>
      <c r="F50" s="2">
        <v>3.3</v>
      </c>
      <c r="G50" s="7">
        <v>14.1</v>
      </c>
      <c r="H50" s="7">
        <v>40.4</v>
      </c>
      <c r="I50" t="s">
        <v>3</v>
      </c>
      <c r="J50" t="s">
        <v>8</v>
      </c>
    </row>
    <row r="51" spans="1:10" x14ac:dyDescent="0.3">
      <c r="A51" t="s">
        <v>42</v>
      </c>
      <c r="B51" t="s">
        <v>53</v>
      </c>
      <c r="C51" s="1" t="s">
        <v>52</v>
      </c>
      <c r="D51" s="2">
        <v>11.6</v>
      </c>
      <c r="E51" s="7">
        <v>-16.899999999999999</v>
      </c>
      <c r="F51" s="2">
        <v>3.5</v>
      </c>
      <c r="G51" s="7">
        <v>11.6</v>
      </c>
      <c r="H51" s="7">
        <v>34.299999999999997</v>
      </c>
      <c r="I51" t="s">
        <v>54</v>
      </c>
      <c r="J51" t="s">
        <v>8</v>
      </c>
    </row>
    <row r="52" spans="1:10" x14ac:dyDescent="0.3">
      <c r="A52" t="s">
        <v>42</v>
      </c>
      <c r="B52" t="s">
        <v>55</v>
      </c>
      <c r="C52" s="1" t="s">
        <v>70</v>
      </c>
      <c r="D52" s="2">
        <v>9.4</v>
      </c>
      <c r="E52" s="7">
        <v>-6.3</v>
      </c>
      <c r="F52" s="2">
        <v>3.4</v>
      </c>
      <c r="G52" s="7">
        <v>12.1</v>
      </c>
      <c r="H52" s="7">
        <v>35.4</v>
      </c>
      <c r="I52" t="s">
        <v>54</v>
      </c>
      <c r="J52" t="s">
        <v>8</v>
      </c>
    </row>
    <row r="53" spans="1:10" x14ac:dyDescent="0.3">
      <c r="A53" t="s">
        <v>42</v>
      </c>
      <c r="B53" t="s">
        <v>55</v>
      </c>
      <c r="C53" s="1" t="s">
        <v>70</v>
      </c>
      <c r="D53" s="2">
        <v>7.1</v>
      </c>
      <c r="E53" s="7">
        <v>-11.3</v>
      </c>
      <c r="F53" s="2">
        <v>3.3</v>
      </c>
      <c r="G53" s="7">
        <v>13</v>
      </c>
      <c r="H53" s="7">
        <v>37.299999999999997</v>
      </c>
      <c r="I53" t="s">
        <v>54</v>
      </c>
      <c r="J53" t="s">
        <v>8</v>
      </c>
    </row>
    <row r="54" spans="1:10" x14ac:dyDescent="0.3">
      <c r="A54" t="s">
        <v>42</v>
      </c>
      <c r="B54" t="s">
        <v>48</v>
      </c>
      <c r="C54" s="1" t="s">
        <v>56</v>
      </c>
      <c r="D54" s="2">
        <v>8.8000000000000007</v>
      </c>
      <c r="E54" s="7">
        <v>-8.1999999999999993</v>
      </c>
      <c r="F54" s="2">
        <v>3.4</v>
      </c>
      <c r="G54" s="7">
        <v>13.6</v>
      </c>
      <c r="H54" s="7">
        <v>39.6</v>
      </c>
      <c r="I54" t="s">
        <v>54</v>
      </c>
      <c r="J54" t="s">
        <v>8</v>
      </c>
    </row>
    <row r="55" spans="1:10" x14ac:dyDescent="0.3">
      <c r="A55" t="s">
        <v>42</v>
      </c>
      <c r="B55" t="s">
        <v>57</v>
      </c>
      <c r="C55" s="1" t="s">
        <v>23</v>
      </c>
      <c r="D55" s="2">
        <v>8.6999999999999993</v>
      </c>
      <c r="E55" s="7">
        <v>-18.2</v>
      </c>
      <c r="F55" s="2">
        <v>3.4</v>
      </c>
      <c r="G55" s="7">
        <v>13</v>
      </c>
      <c r="H55" s="7">
        <v>38.200000000000003</v>
      </c>
      <c r="I55" t="s">
        <v>54</v>
      </c>
      <c r="J55" t="s">
        <v>8</v>
      </c>
    </row>
    <row r="56" spans="1:10" x14ac:dyDescent="0.3">
      <c r="A56" t="s">
        <v>42</v>
      </c>
      <c r="B56" t="s">
        <v>58</v>
      </c>
      <c r="C56" s="1" t="s">
        <v>23</v>
      </c>
      <c r="D56" s="2">
        <v>7.7</v>
      </c>
      <c r="E56" s="7">
        <v>-7.2</v>
      </c>
      <c r="F56" s="2">
        <v>3.4</v>
      </c>
      <c r="G56" s="7">
        <v>13.5</v>
      </c>
      <c r="H56" s="7">
        <v>39.4</v>
      </c>
      <c r="I56" t="s">
        <v>54</v>
      </c>
      <c r="J56" t="s">
        <v>8</v>
      </c>
    </row>
    <row r="57" spans="1:10" x14ac:dyDescent="0.3">
      <c r="A57" t="s">
        <v>42</v>
      </c>
      <c r="B57" t="s">
        <v>57</v>
      </c>
      <c r="C57" s="1" t="s">
        <v>23</v>
      </c>
      <c r="D57" s="2">
        <v>5.6</v>
      </c>
      <c r="E57" s="7">
        <v>-9.5</v>
      </c>
      <c r="F57" s="2">
        <v>3.4</v>
      </c>
      <c r="G57" s="7">
        <v>13.5</v>
      </c>
      <c r="H57" s="7">
        <v>39</v>
      </c>
      <c r="I57" t="s">
        <v>54</v>
      </c>
      <c r="J57" t="s">
        <v>8</v>
      </c>
    </row>
    <row r="58" spans="1:10" x14ac:dyDescent="0.3">
      <c r="A58" t="s">
        <v>42</v>
      </c>
      <c r="B58" t="s">
        <v>22</v>
      </c>
      <c r="C58" s="1" t="s">
        <v>23</v>
      </c>
      <c r="D58" s="2">
        <v>6.5</v>
      </c>
      <c r="E58" s="7">
        <v>-17.3</v>
      </c>
      <c r="F58" s="2">
        <v>3.3</v>
      </c>
      <c r="G58" s="7">
        <v>14.5</v>
      </c>
      <c r="H58" s="7">
        <v>41.2</v>
      </c>
      <c r="I58" t="s">
        <v>54</v>
      </c>
      <c r="J58" t="s">
        <v>8</v>
      </c>
    </row>
    <row r="59" spans="1:10" x14ac:dyDescent="0.3">
      <c r="A59" t="s">
        <v>42</v>
      </c>
      <c r="B59" t="s">
        <v>57</v>
      </c>
      <c r="C59" s="1" t="s">
        <v>23</v>
      </c>
      <c r="D59" s="2">
        <v>9.8000000000000007</v>
      </c>
      <c r="E59" s="7">
        <v>-10.5</v>
      </c>
      <c r="F59" s="2">
        <v>3.4</v>
      </c>
      <c r="G59" s="7">
        <v>12.7</v>
      </c>
      <c r="H59" s="7">
        <v>37.200000000000003</v>
      </c>
      <c r="I59" t="s">
        <v>54</v>
      </c>
      <c r="J59" t="s">
        <v>8</v>
      </c>
    </row>
    <row r="60" spans="1:10" x14ac:dyDescent="0.3">
      <c r="A60" s="3" t="s">
        <v>42</v>
      </c>
      <c r="B60" s="3" t="s">
        <v>58</v>
      </c>
      <c r="C60" s="4" t="s">
        <v>23</v>
      </c>
      <c r="D60" s="8">
        <v>6.9</v>
      </c>
      <c r="E60" s="9">
        <v>-15.3</v>
      </c>
      <c r="F60" s="8">
        <v>3.5</v>
      </c>
      <c r="G60" s="9">
        <v>11.3</v>
      </c>
      <c r="H60" s="9">
        <v>33.799999999999997</v>
      </c>
      <c r="I60" s="3" t="s">
        <v>54</v>
      </c>
      <c r="J60" s="3" t="s">
        <v>8</v>
      </c>
    </row>
    <row r="61" spans="1:10" ht="16.2" x14ac:dyDescent="0.3">
      <c r="A61" t="s">
        <v>72</v>
      </c>
    </row>
    <row r="62" spans="1:10" ht="16.2" x14ac:dyDescent="0.3">
      <c r="A62" s="10" t="s">
        <v>68</v>
      </c>
    </row>
    <row r="63" spans="1:10" ht="16.2" x14ac:dyDescent="0.3">
      <c r="A63" t="s">
        <v>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2025-08-16T23:53:33Z</dcterms:created>
  <dcterms:modified xsi:type="dcterms:W3CDTF">2025-10-11T14:46:49Z</dcterms:modified>
</cp:coreProperties>
</file>