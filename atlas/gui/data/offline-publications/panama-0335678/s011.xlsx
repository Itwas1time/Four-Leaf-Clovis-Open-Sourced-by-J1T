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aesha\Desktop\Revisions Aug 2025\Rev Figs and Tables\TO SEND TO REVIEWERS\"/>
    </mc:Choice>
  </mc:AlternateContent>
  <xr:revisionPtr revIDLastSave="0" documentId="13_ncr:1_{8C9FF044-AFAD-4CE5-9FF9-0500F41831ED}" xr6:coauthVersionLast="47" xr6:coauthVersionMax="47" xr10:uidLastSave="{00000000-0000-0000-0000-000000000000}"/>
  <bookViews>
    <workbookView xWindow="-108" yWindow="-108" windowWidth="23256" windowHeight="12456" xr2:uid="{F81E3050-F597-4752-9D5D-AAEC99E20F6D}"/>
  </bookViews>
  <sheets>
    <sheet name="S5 Tab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2" i="1" l="1"/>
  <c r="B93" i="1"/>
  <c r="B80" i="1"/>
</calcChain>
</file>

<file path=xl/sharedStrings.xml><?xml version="1.0" encoding="utf-8"?>
<sst xmlns="http://schemas.openxmlformats.org/spreadsheetml/2006/main" count="174" uniqueCount="58">
  <si>
    <t>Standard</t>
  </si>
  <si>
    <t>Material Type</t>
  </si>
  <si>
    <t>USGS40</t>
  </si>
  <si>
    <t>L-glutamic acid</t>
  </si>
  <si>
    <t>NBS-19</t>
  </si>
  <si>
    <t>USGS41a</t>
  </si>
  <si>
    <t>–26.39</t>
  </si>
  <si>
    <t>–4.52</t>
  </si>
  <si>
    <t>Purpose</t>
  </si>
  <si>
    <t>calibration</t>
  </si>
  <si>
    <t>internal standard for comparison</t>
  </si>
  <si>
    <t>wt %N</t>
  </si>
  <si>
    <t>wt %C</t>
  </si>
  <si>
    <r>
      <rPr>
        <b/>
        <sz val="11"/>
        <color theme="1"/>
        <rFont val="Calibri"/>
        <family val="2"/>
      </rPr>
      <t>δ</t>
    </r>
    <r>
      <rPr>
        <b/>
        <vertAlign val="superscript"/>
        <sz val="11"/>
        <color theme="1"/>
        <rFont val="Aptos Display"/>
        <family val="2"/>
        <scheme val="major"/>
      </rPr>
      <t>15</t>
    </r>
    <r>
      <rPr>
        <b/>
        <sz val="11"/>
        <color theme="1"/>
        <rFont val="Aptos Display"/>
        <family val="2"/>
        <scheme val="major"/>
      </rPr>
      <t>N (</t>
    </r>
    <r>
      <rPr>
        <b/>
        <sz val="11"/>
        <color theme="1"/>
        <rFont val="Times New Roman"/>
        <family val="1"/>
      </rPr>
      <t>‰</t>
    </r>
    <r>
      <rPr>
        <b/>
        <sz val="11"/>
        <color theme="1"/>
        <rFont val="Aptos Display"/>
        <family val="2"/>
        <scheme val="major"/>
      </rPr>
      <t>, vs AIR)</t>
    </r>
  </si>
  <si>
    <r>
      <rPr>
        <b/>
        <vertAlign val="superscript"/>
        <sz val="11"/>
        <color theme="1"/>
        <rFont val="Calibri"/>
        <family val="2"/>
      </rPr>
      <t>δ</t>
    </r>
    <r>
      <rPr>
        <b/>
        <vertAlign val="superscript"/>
        <sz val="11"/>
        <color theme="1"/>
        <rFont val="Aptos Display"/>
        <family val="2"/>
        <scheme val="major"/>
      </rPr>
      <t>13</t>
    </r>
    <r>
      <rPr>
        <b/>
        <sz val="11"/>
        <color theme="1"/>
        <rFont val="Aptos Display"/>
        <family val="2"/>
        <scheme val="major"/>
      </rPr>
      <t>C (</t>
    </r>
    <r>
      <rPr>
        <b/>
        <sz val="11"/>
        <color theme="1"/>
        <rFont val="Times New Roman"/>
        <family val="1"/>
      </rPr>
      <t>‰</t>
    </r>
    <r>
      <rPr>
        <b/>
        <sz val="11"/>
        <color theme="1"/>
        <rFont val="Aptos Display"/>
        <family val="2"/>
        <scheme val="major"/>
      </rPr>
      <t>, vs VPDB)</t>
    </r>
  </si>
  <si>
    <t>Record of standard runs during collagen isotope analysis:</t>
  </si>
  <si>
    <t xml:space="preserve">Precision for USGS40 (N = 6): δ13C = 0.06‰, δ15N = 0.09‰ </t>
  </si>
  <si>
    <t>NBS-18</t>
  </si>
  <si>
    <t>calcite</t>
  </si>
  <si>
    <t>limestone</t>
  </si>
  <si>
    <r>
      <t>δ</t>
    </r>
    <r>
      <rPr>
        <b/>
        <vertAlign val="superscript"/>
        <sz val="11"/>
        <color theme="1"/>
        <rFont val="Aptos Display"/>
        <family val="2"/>
        <scheme val="major"/>
      </rPr>
      <t>13</t>
    </r>
    <r>
      <rPr>
        <b/>
        <sz val="11"/>
        <color theme="1"/>
        <rFont val="Aptos Display"/>
        <family val="2"/>
        <scheme val="major"/>
      </rPr>
      <t>C (‰, vs VPDB)</t>
    </r>
  </si>
  <si>
    <r>
      <t>δ</t>
    </r>
    <r>
      <rPr>
        <b/>
        <vertAlign val="superscript"/>
        <sz val="11"/>
        <color theme="1"/>
        <rFont val="Aptos Display"/>
        <family val="2"/>
        <scheme val="major"/>
      </rPr>
      <t>15</t>
    </r>
    <r>
      <rPr>
        <b/>
        <sz val="11"/>
        <color theme="1"/>
        <rFont val="Aptos Display"/>
        <family val="2"/>
        <scheme val="major"/>
      </rPr>
      <t>N (‰, vs AIR)</t>
    </r>
  </si>
  <si>
    <r>
      <t>δ</t>
    </r>
    <r>
      <rPr>
        <b/>
        <vertAlign val="superscript"/>
        <sz val="11"/>
        <color theme="1"/>
        <rFont val="Aptos Display"/>
        <family val="2"/>
        <scheme val="major"/>
      </rPr>
      <t>18</t>
    </r>
    <r>
      <rPr>
        <b/>
        <sz val="11"/>
        <color theme="1"/>
        <rFont val="Aptos Display"/>
        <family val="2"/>
        <scheme val="major"/>
      </rPr>
      <t>O (‰, vs VPDB)</t>
    </r>
  </si>
  <si>
    <t>Record of standard runs during enamel isotope analysis:</t>
  </si>
  <si>
    <t>Record of standard runs during bone apatite isotope analysis*:</t>
  </si>
  <si>
    <t>Laboratory standards used for bone apatite and enamel isotope analysis. Standard data from IAEA.</t>
  </si>
  <si>
    <t xml:space="preserve">Precision for NBS-19 (N = 24): δ13C = 0.02‰, δ18O = 0.04‰ </t>
  </si>
  <si>
    <t>S5 Table. Information regarding the laboratory standards used in this study.</t>
  </si>
  <si>
    <t>STDEV</t>
  </si>
  <si>
    <r>
      <rPr>
        <b/>
        <vertAlign val="superscript"/>
        <sz val="11"/>
        <color theme="1"/>
        <rFont val="Aptos Narrow"/>
        <family val="2"/>
        <scheme val="minor"/>
      </rPr>
      <t>87</t>
    </r>
    <r>
      <rPr>
        <b/>
        <sz val="11"/>
        <color theme="1"/>
        <rFont val="Aptos Narrow"/>
        <family val="2"/>
        <scheme val="minor"/>
      </rPr>
      <t>Sr/</t>
    </r>
    <r>
      <rPr>
        <b/>
        <vertAlign val="superscript"/>
        <sz val="11"/>
        <color theme="1"/>
        <rFont val="Aptos Narrow"/>
        <family val="2"/>
        <scheme val="minor"/>
      </rPr>
      <t>86</t>
    </r>
    <r>
      <rPr>
        <b/>
        <sz val="11"/>
        <color theme="1"/>
        <rFont val="Aptos Narrow"/>
        <family val="2"/>
        <scheme val="minor"/>
      </rPr>
      <t>Sr</t>
    </r>
  </si>
  <si>
    <t>Error</t>
  </si>
  <si>
    <t>NBS 987</t>
  </si>
  <si>
    <t>NBS 18</t>
  </si>
  <si>
    <t>NBS 19</t>
  </si>
  <si>
    <t>*The last 2 NBS 18 and last 8 NBS 19 standards were run in a set that included bone apatite and enamel, so these standards appear in both sets.</t>
  </si>
  <si>
    <t xml:space="preserve">Precision for NBS 19 (N = 16): δ13C = 0.02‰, δ18O = 0.04‰ </t>
  </si>
  <si>
    <t>strontium carbonate</t>
  </si>
  <si>
    <t>Average</t>
  </si>
  <si>
    <t>NIST 1577C</t>
  </si>
  <si>
    <t>bovine liver</t>
  </si>
  <si>
    <t>Laboratory standards used for bone collagen isotope analysis. Calibration standard data from USGS and NIST.</t>
  </si>
  <si>
    <t>NIST 1577C*</t>
  </si>
  <si>
    <t>*This is an elemental standard and does not have reported isotopic values. The values reported here have been used by the Light Stable Isotope Mass Spectrometry Laboratory (University of Florida Department of Geological Sciences).</t>
  </si>
  <si>
    <r>
      <t xml:space="preserve">Laboratory standards used for water samples on the Picarro L2120-I for </t>
    </r>
    <r>
      <rPr>
        <b/>
        <i/>
        <sz val="11"/>
        <color theme="1"/>
        <rFont val="Aptos Display"/>
        <family val="2"/>
        <scheme val="major"/>
      </rPr>
      <t>δ</t>
    </r>
    <r>
      <rPr>
        <b/>
        <vertAlign val="superscript"/>
        <sz val="11"/>
        <color theme="1"/>
        <rFont val="Aptos Display"/>
        <family val="2"/>
        <scheme val="major"/>
      </rPr>
      <t>18</t>
    </r>
    <r>
      <rPr>
        <b/>
        <sz val="11"/>
        <color theme="1"/>
        <rFont val="Aptos Display"/>
        <family val="2"/>
        <scheme val="major"/>
      </rPr>
      <t xml:space="preserve">O and </t>
    </r>
    <r>
      <rPr>
        <b/>
        <i/>
        <sz val="11"/>
        <color theme="1"/>
        <rFont val="Calibri"/>
        <family val="2"/>
      </rPr>
      <t>δ</t>
    </r>
    <r>
      <rPr>
        <b/>
        <sz val="11"/>
        <color theme="1"/>
        <rFont val="Aptos Display"/>
        <family val="2"/>
        <scheme val="major"/>
      </rPr>
      <t>D:</t>
    </r>
  </si>
  <si>
    <t>UW Antarctic Water*</t>
  </si>
  <si>
    <t>Lake Tulane Water*</t>
  </si>
  <si>
    <t>water</t>
  </si>
  <si>
    <t>*These are internal standards that were calibrated using international standards (USGS49 and USGS50).</t>
  </si>
  <si>
    <r>
      <rPr>
        <b/>
        <i/>
        <sz val="11"/>
        <color theme="1"/>
        <rFont val="Calibri"/>
        <family val="2"/>
      </rPr>
      <t>δ</t>
    </r>
    <r>
      <rPr>
        <b/>
        <vertAlign val="superscript"/>
        <sz val="11"/>
        <color theme="1"/>
        <rFont val="Aptos Narrow"/>
        <family val="2"/>
        <scheme val="minor"/>
      </rPr>
      <t>18</t>
    </r>
    <r>
      <rPr>
        <b/>
        <sz val="11"/>
        <color theme="1"/>
        <rFont val="Aptos Narrow"/>
        <family val="2"/>
        <scheme val="minor"/>
      </rPr>
      <t>O (%, vs VSMOW)</t>
    </r>
  </si>
  <si>
    <r>
      <rPr>
        <b/>
        <i/>
        <sz val="11"/>
        <color theme="1"/>
        <rFont val="Calibri"/>
        <family val="2"/>
      </rPr>
      <t>δ</t>
    </r>
    <r>
      <rPr>
        <b/>
        <sz val="11"/>
        <color theme="1"/>
        <rFont val="Calibri"/>
        <family val="2"/>
      </rPr>
      <t>D</t>
    </r>
    <r>
      <rPr>
        <b/>
        <sz val="11"/>
        <color theme="1"/>
        <rFont val="Aptos Narrow"/>
        <family val="2"/>
        <scheme val="minor"/>
      </rPr>
      <t xml:space="preserve"> (%, vs VSMOW)</t>
    </r>
  </si>
  <si>
    <t>Record of standard runs during Picarro water isotope analysis:</t>
  </si>
  <si>
    <t>UW Antarctic</t>
  </si>
  <si>
    <t>Lake Tulane</t>
  </si>
  <si>
    <r>
      <t xml:space="preserve">Record of standard runs during </t>
    </r>
    <r>
      <rPr>
        <b/>
        <vertAlign val="superscript"/>
        <sz val="11"/>
        <color theme="1"/>
        <rFont val="Aptos Narrow"/>
        <family val="2"/>
        <scheme val="minor"/>
      </rPr>
      <t>87</t>
    </r>
    <r>
      <rPr>
        <b/>
        <sz val="11"/>
        <color theme="1"/>
        <rFont val="Aptos Narrow"/>
        <family val="2"/>
        <scheme val="minor"/>
      </rPr>
      <t>Sr/</t>
    </r>
    <r>
      <rPr>
        <b/>
        <vertAlign val="superscript"/>
        <sz val="11"/>
        <color theme="1"/>
        <rFont val="Aptos Narrow"/>
        <family val="2"/>
        <scheme val="minor"/>
      </rPr>
      <t>86</t>
    </r>
    <r>
      <rPr>
        <b/>
        <sz val="11"/>
        <color theme="1"/>
        <rFont val="Aptos Narrow"/>
        <family val="2"/>
        <scheme val="minor"/>
      </rPr>
      <t>Sr isotope analysis for tooth enamel samples:</t>
    </r>
  </si>
  <si>
    <r>
      <t xml:space="preserve">Record of standard runs during </t>
    </r>
    <r>
      <rPr>
        <b/>
        <vertAlign val="superscript"/>
        <sz val="11"/>
        <color theme="1"/>
        <rFont val="Aptos Narrow"/>
        <family val="2"/>
        <scheme val="minor"/>
      </rPr>
      <t>87</t>
    </r>
    <r>
      <rPr>
        <b/>
        <sz val="11"/>
        <color theme="1"/>
        <rFont val="Aptos Narrow"/>
        <family val="2"/>
        <scheme val="minor"/>
      </rPr>
      <t>Sr/</t>
    </r>
    <r>
      <rPr>
        <b/>
        <vertAlign val="superscript"/>
        <sz val="11"/>
        <color theme="1"/>
        <rFont val="Aptos Narrow"/>
        <family val="2"/>
        <scheme val="minor"/>
      </rPr>
      <t>86</t>
    </r>
    <r>
      <rPr>
        <b/>
        <sz val="11"/>
        <color theme="1"/>
        <rFont val="Aptos Narrow"/>
        <family val="2"/>
        <scheme val="minor"/>
      </rPr>
      <t>Sr isotope analysis for water samples:</t>
    </r>
  </si>
  <si>
    <r>
      <t xml:space="preserve">Laboratory standard used for enamel </t>
    </r>
    <r>
      <rPr>
        <b/>
        <vertAlign val="superscript"/>
        <sz val="11"/>
        <color theme="1"/>
        <rFont val="Aptos Display"/>
        <family val="2"/>
        <scheme val="major"/>
      </rPr>
      <t>87</t>
    </r>
    <r>
      <rPr>
        <b/>
        <sz val="11"/>
        <color theme="1"/>
        <rFont val="Aptos Display"/>
        <family val="2"/>
        <scheme val="major"/>
      </rPr>
      <t>Sr/</t>
    </r>
    <r>
      <rPr>
        <b/>
        <vertAlign val="superscript"/>
        <sz val="11"/>
        <color theme="1"/>
        <rFont val="Aptos Display"/>
        <family val="2"/>
        <scheme val="major"/>
      </rPr>
      <t>86</t>
    </r>
    <r>
      <rPr>
        <b/>
        <sz val="11"/>
        <color theme="1"/>
        <rFont val="Aptos Display"/>
        <family val="2"/>
        <scheme val="major"/>
      </rPr>
      <t>Sr analysis.</t>
    </r>
  </si>
  <si>
    <r>
      <t>0.71034</t>
    </r>
    <r>
      <rPr>
        <sz val="11"/>
        <color theme="1"/>
        <rFont val="Aptos Narrow"/>
        <family val="2"/>
      </rPr>
      <t>±0.00026</t>
    </r>
    <r>
      <rPr>
        <sz val="11"/>
        <color theme="1"/>
        <rFont val="Aptos Narrow"/>
        <family val="2"/>
        <scheme val="minor"/>
      </rPr>
      <t xml:space="preserve"> (NIST), revised to 0.71024 (see Guiserix et al. 2022)</t>
    </r>
  </si>
  <si>
    <t>Precision (2*STDEV)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</si>
</sst>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9" formatCode="0.00000"/>
  </numFmts>
  <fonts count="13" x14ac:knownFonts="1">
    <font>
      <sz val="11"/>
      <color theme="1"/>
      <name val="Aptos Narrow"/>
      <family val="2"/>
      <scheme val="minor"/>
    </font>
    <font>
      <b/>
      <sz val="11"/>
      <color theme="1"/>
      <name val="Aptos Narrow"/>
      <family val="2"/>
      <scheme val="minor"/>
    </font>
    <font>
      <b/>
      <sz val="11"/>
      <color theme="1"/>
      <name val="Calibri"/>
      <family val="2"/>
    </font>
    <font>
      <b/>
      <vertAlign val="superscript"/>
      <sz val="11"/>
      <color theme="1"/>
      <name val="Calibri"/>
      <family val="2"/>
    </font>
    <font>
      <b/>
      <sz val="11"/>
      <color theme="1"/>
      <name val="Aptos Display"/>
      <family val="2"/>
      <scheme val="major"/>
    </font>
    <font>
      <b/>
      <i/>
      <sz val="11"/>
      <color theme="1"/>
      <name val="Aptos Display"/>
      <family val="2"/>
      <scheme val="major"/>
    </font>
    <font>
      <b/>
      <vertAlign val="superscript"/>
      <sz val="11"/>
      <color theme="1"/>
      <name val="Aptos Display"/>
      <family val="2"/>
      <scheme val="major"/>
    </font>
    <font>
      <sz val="11"/>
      <color theme="1"/>
      <name val="Aptos Display"/>
      <family val="2"/>
      <scheme val="major"/>
    </font>
    <font>
      <b/>
      <sz val="11"/>
      <color theme="1"/>
      <name val="Times New Roman"/>
      <family val="1"/>
    </font>
    <font>
      <b/>
      <vertAlign val="superscript"/>
      <sz val="11"/>
      <color theme="1"/>
      <name val="Aptos Narrow"/>
      <family val="2"/>
      <scheme val="minor"/>
    </font>
    <font>
      <sz val="11"/>
      <color theme="1"/>
      <name val="Aptos Narrow"/>
      <family val="2"/>
    </font>
    <font>
      <sz val="8"/>
      <name val="Aptos Narrow"/>
      <family val="2"/>
      <scheme val="minor"/>
    </font>
    <font>
      <b/>
      <i/>
      <sz val="11"/>
      <color theme="1"/>
      <name val="Calibri"/>
      <family val="2"/>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1" fillId="0" borderId="0" xfId="0" applyFont="1"/>
    <xf numFmtId="0" fontId="4" fillId="0" borderId="0" xfId="0" applyFont="1"/>
    <xf numFmtId="0" fontId="7" fillId="0" borderId="0" xfId="0" applyFont="1"/>
    <xf numFmtId="0" fontId="4" fillId="0" borderId="0" xfId="0" applyFont="1" applyAlignment="1">
      <alignment wrapText="1"/>
    </xf>
    <xf numFmtId="0" fontId="7" fillId="0" borderId="0" xfId="0" applyFont="1" applyAlignment="1">
      <alignment wrapText="1"/>
    </xf>
    <xf numFmtId="0" fontId="7" fillId="0" borderId="0" xfId="0" applyFont="1" applyAlignment="1">
      <alignment horizontal="center" wrapText="1"/>
    </xf>
    <xf numFmtId="11" fontId="7" fillId="0" borderId="0" xfId="0" applyNumberFormat="1" applyFont="1" applyAlignment="1">
      <alignment wrapText="1"/>
    </xf>
    <xf numFmtId="0" fontId="1" fillId="0" borderId="0" xfId="0" applyFont="1" applyAlignment="1">
      <alignment horizontal="center"/>
    </xf>
    <xf numFmtId="0" fontId="4" fillId="0" borderId="0" xfId="0" applyFont="1" applyAlignment="1">
      <alignment horizontal="center"/>
    </xf>
    <xf numFmtId="164" fontId="7" fillId="0" borderId="0" xfId="0" applyNumberFormat="1" applyFont="1" applyAlignment="1">
      <alignment wrapText="1"/>
    </xf>
    <xf numFmtId="0" fontId="7" fillId="0" borderId="4" xfId="0" applyFont="1" applyBorder="1" applyAlignment="1">
      <alignment wrapText="1"/>
    </xf>
    <xf numFmtId="0" fontId="7" fillId="0" borderId="0" xfId="0" applyFont="1" applyBorder="1" applyAlignment="1">
      <alignment wrapText="1"/>
    </xf>
    <xf numFmtId="0" fontId="7" fillId="0" borderId="0" xfId="0" applyFont="1" applyBorder="1" applyAlignment="1">
      <alignment horizontal="center" wrapText="1"/>
    </xf>
    <xf numFmtId="0" fontId="7" fillId="0" borderId="5" xfId="0" applyFont="1" applyBorder="1" applyAlignment="1">
      <alignment horizontal="center" wrapText="1"/>
    </xf>
    <xf numFmtId="0" fontId="7" fillId="0" borderId="6" xfId="0" applyFont="1" applyBorder="1" applyAlignment="1">
      <alignment wrapText="1"/>
    </xf>
    <xf numFmtId="0" fontId="7" fillId="0" borderId="7" xfId="0" applyFont="1" applyBorder="1" applyAlignment="1">
      <alignment wrapText="1"/>
    </xf>
    <xf numFmtId="0" fontId="7" fillId="0" borderId="7" xfId="0" applyFont="1" applyBorder="1" applyAlignment="1">
      <alignment horizontal="center" wrapText="1"/>
    </xf>
    <xf numFmtId="0" fontId="7" fillId="0" borderId="8" xfId="0" applyFont="1" applyBorder="1" applyAlignment="1">
      <alignment horizontal="center" wrapText="1"/>
    </xf>
    <xf numFmtId="0" fontId="4" fillId="0" borderId="9" xfId="0" applyFont="1" applyBorder="1" applyAlignment="1">
      <alignment horizontal="center" wrapText="1"/>
    </xf>
    <xf numFmtId="0" fontId="4" fillId="0" borderId="10" xfId="0" applyFont="1" applyBorder="1" applyAlignment="1">
      <alignment horizontal="center" wrapText="1"/>
    </xf>
    <xf numFmtId="0" fontId="5" fillId="0" borderId="10" xfId="0" applyFont="1" applyBorder="1" applyAlignment="1">
      <alignment horizontal="center" wrapText="1"/>
    </xf>
    <xf numFmtId="0" fontId="5" fillId="0" borderId="11" xfId="0" applyFont="1" applyBorder="1" applyAlignment="1">
      <alignment horizontal="center" wrapText="1"/>
    </xf>
    <xf numFmtId="0" fontId="4" fillId="0" borderId="11" xfId="0" applyFont="1" applyBorder="1" applyAlignment="1">
      <alignment horizontal="center" wrapText="1"/>
    </xf>
    <xf numFmtId="0" fontId="7" fillId="0" borderId="5" xfId="0" applyFont="1" applyBorder="1" applyAlignment="1">
      <alignment wrapText="1"/>
    </xf>
    <xf numFmtId="0" fontId="7" fillId="0" borderId="8" xfId="0" applyFont="1" applyBorder="1" applyAlignment="1">
      <alignment wrapText="1"/>
    </xf>
    <xf numFmtId="2" fontId="7" fillId="0" borderId="0" xfId="0" applyNumberFormat="1" applyFont="1" applyBorder="1" applyAlignment="1">
      <alignment horizontal="center" wrapText="1"/>
    </xf>
    <xf numFmtId="2" fontId="7" fillId="0" borderId="7" xfId="0" applyNumberFormat="1" applyFont="1" applyBorder="1" applyAlignment="1">
      <alignment horizontal="center" wrapText="1"/>
    </xf>
    <xf numFmtId="0" fontId="7" fillId="0" borderId="0" xfId="0" applyFont="1" applyBorder="1" applyAlignment="1">
      <alignment horizontal="left" wrapText="1"/>
    </xf>
    <xf numFmtId="0" fontId="0" fillId="0" borderId="6" xfId="0" applyBorder="1"/>
    <xf numFmtId="0" fontId="7" fillId="0" borderId="7" xfId="0" applyFont="1" applyBorder="1"/>
    <xf numFmtId="0" fontId="0" fillId="0" borderId="7" xfId="0" applyBorder="1" applyAlignment="1">
      <alignment horizontal="center"/>
    </xf>
    <xf numFmtId="2" fontId="0" fillId="0" borderId="8" xfId="0" applyNumberFormat="1" applyBorder="1" applyAlignment="1">
      <alignment horizontal="center"/>
    </xf>
    <xf numFmtId="0" fontId="0" fillId="0" borderId="4" xfId="0" applyFont="1" applyBorder="1" applyAlignment="1">
      <alignment horizontal="left" wrapText="1"/>
    </xf>
    <xf numFmtId="0" fontId="0" fillId="0" borderId="4" xfId="0" applyBorder="1"/>
    <xf numFmtId="2" fontId="7" fillId="0" borderId="0" xfId="0" applyNumberFormat="1" applyFont="1" applyBorder="1" applyAlignment="1">
      <alignment horizontal="right" wrapText="1"/>
    </xf>
    <xf numFmtId="2" fontId="7" fillId="0" borderId="5" xfId="0" applyNumberFormat="1" applyFont="1" applyBorder="1" applyAlignment="1">
      <alignment horizontal="right" wrapText="1"/>
    </xf>
    <xf numFmtId="2" fontId="0" fillId="0" borderId="0" xfId="0" applyNumberFormat="1" applyBorder="1" applyAlignment="1">
      <alignment horizontal="right"/>
    </xf>
    <xf numFmtId="2" fontId="0" fillId="0" borderId="5" xfId="0" applyNumberFormat="1" applyBorder="1" applyAlignment="1">
      <alignment horizontal="right"/>
    </xf>
    <xf numFmtId="2" fontId="0" fillId="0" borderId="7" xfId="0" applyNumberFormat="1" applyBorder="1" applyAlignment="1">
      <alignment horizontal="right"/>
    </xf>
    <xf numFmtId="2" fontId="0" fillId="0" borderId="8" xfId="0" applyNumberFormat="1" applyBorder="1" applyAlignment="1">
      <alignment horizontal="right"/>
    </xf>
    <xf numFmtId="0" fontId="1" fillId="0" borderId="9" xfId="0" applyFont="1" applyBorder="1" applyAlignment="1">
      <alignment horizontal="center"/>
    </xf>
    <xf numFmtId="2" fontId="0" fillId="0" borderId="0" xfId="0" applyNumberFormat="1" applyBorder="1"/>
    <xf numFmtId="2" fontId="0" fillId="0" borderId="5" xfId="0" applyNumberFormat="1" applyBorder="1"/>
    <xf numFmtId="2" fontId="0" fillId="0" borderId="0" xfId="0" quotePrefix="1" applyNumberFormat="1" applyBorder="1"/>
    <xf numFmtId="2" fontId="0" fillId="0" borderId="5" xfId="0" quotePrefix="1" applyNumberFormat="1" applyBorder="1"/>
    <xf numFmtId="2" fontId="0" fillId="0" borderId="7" xfId="0" applyNumberFormat="1" applyBorder="1"/>
    <xf numFmtId="2" fontId="0" fillId="0" borderId="8" xfId="0" applyNumberFormat="1" applyBorder="1"/>
    <xf numFmtId="0" fontId="1" fillId="0" borderId="9" xfId="0" applyFont="1" applyBorder="1"/>
    <xf numFmtId="0" fontId="7" fillId="0" borderId="6" xfId="0" applyFont="1" applyBorder="1"/>
    <xf numFmtId="0" fontId="0" fillId="0" borderId="7" xfId="0" applyBorder="1"/>
    <xf numFmtId="0" fontId="0" fillId="0" borderId="8" xfId="0" applyBorder="1"/>
    <xf numFmtId="0" fontId="1" fillId="0" borderId="11" xfId="0" applyFont="1" applyBorder="1" applyAlignment="1">
      <alignment horizontal="center"/>
    </xf>
    <xf numFmtId="0" fontId="1" fillId="0" borderId="10" xfId="0" applyFont="1" applyBorder="1" applyAlignment="1">
      <alignment horizontal="center"/>
    </xf>
    <xf numFmtId="0" fontId="0" fillId="0" borderId="0" xfId="0" applyBorder="1" applyAlignment="1">
      <alignment horizontal="center"/>
    </xf>
    <xf numFmtId="0" fontId="0" fillId="0" borderId="5" xfId="0" applyBorder="1" applyAlignment="1">
      <alignment horizontal="center"/>
    </xf>
    <xf numFmtId="164" fontId="7" fillId="0" borderId="0" xfId="0" applyNumberFormat="1" applyFont="1" applyBorder="1" applyAlignment="1">
      <alignment horizontal="center" wrapText="1"/>
    </xf>
    <xf numFmtId="164" fontId="7" fillId="0" borderId="5" xfId="0" applyNumberFormat="1" applyFont="1" applyBorder="1" applyAlignment="1">
      <alignment horizontal="center" wrapText="1"/>
    </xf>
    <xf numFmtId="11" fontId="7" fillId="0" borderId="7" xfId="0" applyNumberFormat="1" applyFont="1" applyBorder="1" applyAlignment="1">
      <alignment horizontal="center" wrapText="1"/>
    </xf>
    <xf numFmtId="0" fontId="7" fillId="0" borderId="4" xfId="0" applyFont="1" applyBorder="1"/>
    <xf numFmtId="2" fontId="7" fillId="0" borderId="5" xfId="0" applyNumberFormat="1" applyFont="1" applyBorder="1" applyAlignment="1">
      <alignment horizontal="center" wrapText="1"/>
    </xf>
    <xf numFmtId="2" fontId="7" fillId="0" borderId="8" xfId="0" applyNumberFormat="1" applyFont="1" applyBorder="1" applyAlignment="1">
      <alignment horizontal="center" wrapText="1"/>
    </xf>
    <xf numFmtId="0" fontId="7" fillId="0" borderId="1" xfId="0" applyFont="1" applyBorder="1"/>
    <xf numFmtId="2" fontId="7" fillId="0" borderId="2" xfId="0" applyNumberFormat="1" applyFont="1" applyBorder="1" applyAlignment="1">
      <alignment horizontal="center" wrapText="1"/>
    </xf>
    <xf numFmtId="2" fontId="7" fillId="0" borderId="3" xfId="0" applyNumberFormat="1" applyFont="1" applyBorder="1" applyAlignment="1">
      <alignment horizontal="center" wrapText="1"/>
    </xf>
    <xf numFmtId="169" fontId="7" fillId="0" borderId="0" xfId="0" applyNumberFormat="1" applyFont="1" applyAlignment="1">
      <alignment wrapText="1"/>
    </xf>
    <xf numFmtId="11" fontId="7" fillId="0" borderId="0"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61B62-824E-4473-B1F9-AD31CDF561EF}">
  <dimension ref="A1:N112"/>
  <sheetViews>
    <sheetView tabSelected="1" workbookViewId="0">
      <selection activeCell="D2" sqref="D2"/>
    </sheetView>
  </sheetViews>
  <sheetFormatPr defaultRowHeight="14.4" x14ac:dyDescent="0.3"/>
  <cols>
    <col min="1" max="1" width="19.33203125" style="5" customWidth="1"/>
    <col min="2" max="2" width="18.88671875" style="5" customWidth="1"/>
    <col min="3" max="3" width="20.5546875" style="5" customWidth="1"/>
    <col min="4" max="4" width="19" style="5" customWidth="1"/>
    <col min="5" max="7" width="11.44140625" style="5" bestFit="1" customWidth="1"/>
    <col min="8" max="9" width="11.21875" style="5" bestFit="1" customWidth="1"/>
    <col min="10" max="10" width="12.88671875" style="5" customWidth="1"/>
    <col min="11" max="11" width="16.44140625" style="5" customWidth="1"/>
    <col min="12" max="15" width="8.88671875" style="5"/>
    <col min="16" max="16" width="12.109375" style="5" bestFit="1" customWidth="1"/>
    <col min="17" max="17" width="11.44140625" style="5" bestFit="1" customWidth="1"/>
    <col min="18" max="16384" width="8.88671875" style="5"/>
  </cols>
  <sheetData>
    <row r="1" spans="1:11" x14ac:dyDescent="0.3">
      <c r="A1" s="2" t="s">
        <v>27</v>
      </c>
    </row>
    <row r="3" spans="1:11" x14ac:dyDescent="0.3">
      <c r="A3" s="2" t="s">
        <v>40</v>
      </c>
    </row>
    <row r="4" spans="1:11" ht="30.6" x14ac:dyDescent="0.3">
      <c r="A4" s="19" t="s">
        <v>0</v>
      </c>
      <c r="B4" s="20" t="s">
        <v>1</v>
      </c>
      <c r="C4" s="20" t="s">
        <v>8</v>
      </c>
      <c r="D4" s="21" t="s">
        <v>20</v>
      </c>
      <c r="E4" s="22" t="s">
        <v>21</v>
      </c>
    </row>
    <row r="5" spans="1:11" x14ac:dyDescent="0.3">
      <c r="A5" s="11" t="s">
        <v>2</v>
      </c>
      <c r="B5" s="12" t="s">
        <v>3</v>
      </c>
      <c r="C5" s="12" t="s">
        <v>9</v>
      </c>
      <c r="D5" s="13" t="s">
        <v>6</v>
      </c>
      <c r="E5" s="14" t="s">
        <v>7</v>
      </c>
    </row>
    <row r="6" spans="1:11" ht="28.8" x14ac:dyDescent="0.3">
      <c r="A6" s="11" t="s">
        <v>5</v>
      </c>
      <c r="B6" s="12" t="s">
        <v>3</v>
      </c>
      <c r="C6" s="12" t="s">
        <v>9</v>
      </c>
      <c r="D6" s="13">
        <v>36.549999999999997</v>
      </c>
      <c r="E6" s="14">
        <v>47.55</v>
      </c>
    </row>
    <row r="7" spans="1:11" ht="43.2" x14ac:dyDescent="0.3">
      <c r="A7" s="15" t="s">
        <v>41</v>
      </c>
      <c r="B7" s="16" t="s">
        <v>39</v>
      </c>
      <c r="C7" s="16" t="s">
        <v>10</v>
      </c>
      <c r="D7" s="17">
        <v>-17.489999999999998</v>
      </c>
      <c r="E7" s="18">
        <v>8.17</v>
      </c>
    </row>
    <row r="8" spans="1:11" x14ac:dyDescent="0.3">
      <c r="A8" s="3" t="s">
        <v>42</v>
      </c>
      <c r="D8" s="6"/>
      <c r="E8" s="6"/>
    </row>
    <row r="10" spans="1:11" x14ac:dyDescent="0.3">
      <c r="A10" s="2" t="s">
        <v>15</v>
      </c>
    </row>
    <row r="11" spans="1:11" ht="16.2" x14ac:dyDescent="0.3">
      <c r="A11" s="19" t="s">
        <v>0</v>
      </c>
      <c r="B11" s="20" t="s">
        <v>13</v>
      </c>
      <c r="C11" s="20" t="s">
        <v>14</v>
      </c>
      <c r="D11" s="20" t="s">
        <v>11</v>
      </c>
      <c r="E11" s="23" t="s">
        <v>12</v>
      </c>
      <c r="G11" s="4"/>
      <c r="H11" s="4"/>
      <c r="I11" s="4"/>
      <c r="J11" s="4"/>
      <c r="K11" s="4"/>
    </row>
    <row r="12" spans="1:11" x14ac:dyDescent="0.3">
      <c r="A12" s="11" t="s">
        <v>2</v>
      </c>
      <c r="B12" s="26">
        <v>-4.5016667796023482</v>
      </c>
      <c r="C12" s="26">
        <v>-26.331417712612769</v>
      </c>
      <c r="D12" s="13">
        <v>9.49</v>
      </c>
      <c r="E12" s="14">
        <v>40.659999999999997</v>
      </c>
    </row>
    <row r="13" spans="1:11" x14ac:dyDescent="0.3">
      <c r="A13" s="11" t="s">
        <v>2</v>
      </c>
      <c r="B13" s="26">
        <v>-4.6039385392189542</v>
      </c>
      <c r="C13" s="26">
        <v>-26.363808312491937</v>
      </c>
      <c r="D13" s="26">
        <v>9.3000000000000007</v>
      </c>
      <c r="E13" s="14">
        <v>40.630000000000003</v>
      </c>
    </row>
    <row r="14" spans="1:11" x14ac:dyDescent="0.3">
      <c r="A14" s="11" t="s">
        <v>2</v>
      </c>
      <c r="B14" s="26">
        <v>-4.6229891611083218</v>
      </c>
      <c r="C14" s="26">
        <v>-26.354698456275919</v>
      </c>
      <c r="D14" s="13">
        <v>9.5399999999999991</v>
      </c>
      <c r="E14" s="14">
        <v>40.86</v>
      </c>
      <c r="G14" s="3"/>
    </row>
    <row r="15" spans="1:11" x14ac:dyDescent="0.3">
      <c r="A15" s="11" t="s">
        <v>2</v>
      </c>
      <c r="B15" s="26">
        <v>-4.5337520375212828</v>
      </c>
      <c r="C15" s="26">
        <v>-26.37797919993907</v>
      </c>
      <c r="D15" s="13">
        <v>9.52</v>
      </c>
      <c r="E15" s="14">
        <v>40.880000000000003</v>
      </c>
    </row>
    <row r="16" spans="1:11" x14ac:dyDescent="0.3">
      <c r="A16" s="11" t="s">
        <v>2</v>
      </c>
      <c r="B16" s="26">
        <v>-4.3993950199857412</v>
      </c>
      <c r="C16" s="26">
        <v>-26.482236443300142</v>
      </c>
      <c r="D16" s="13">
        <v>9.7100000000000009</v>
      </c>
      <c r="E16" s="14">
        <v>40.950000000000003</v>
      </c>
    </row>
    <row r="17" spans="1:14" x14ac:dyDescent="0.3">
      <c r="A17" s="11" t="s">
        <v>2</v>
      </c>
      <c r="B17" s="26">
        <v>-4.4575495499638125</v>
      </c>
      <c r="C17" s="26">
        <v>-26.429601718496496</v>
      </c>
      <c r="D17" s="13">
        <v>9.61</v>
      </c>
      <c r="E17" s="14">
        <v>40.97</v>
      </c>
    </row>
    <row r="18" spans="1:14" x14ac:dyDescent="0.3">
      <c r="A18" s="11" t="s">
        <v>5</v>
      </c>
      <c r="B18" s="26">
        <v>47.537613571980621</v>
      </c>
      <c r="C18" s="26">
        <v>36.568090633990195</v>
      </c>
      <c r="D18" s="13">
        <v>9.4600000000000009</v>
      </c>
      <c r="E18" s="14">
        <v>40.92</v>
      </c>
    </row>
    <row r="19" spans="1:14" x14ac:dyDescent="0.3">
      <c r="A19" s="11" t="s">
        <v>5</v>
      </c>
      <c r="B19" s="26">
        <v>47.561677515419824</v>
      </c>
      <c r="C19" s="26">
        <v>36.531651209126125</v>
      </c>
      <c r="D19" s="13">
        <v>9.5500000000000007</v>
      </c>
      <c r="E19" s="14">
        <v>41.28</v>
      </c>
    </row>
    <row r="20" spans="1:14" x14ac:dyDescent="0.3">
      <c r="A20" s="11" t="s">
        <v>38</v>
      </c>
      <c r="B20" s="26">
        <v>8.0587090313508103</v>
      </c>
      <c r="C20" s="26">
        <v>-17.625431788840508</v>
      </c>
      <c r="D20" s="13">
        <v>9.75</v>
      </c>
      <c r="E20" s="14">
        <v>47.53</v>
      </c>
    </row>
    <row r="21" spans="1:14" x14ac:dyDescent="0.3">
      <c r="A21" s="15" t="s">
        <v>38</v>
      </c>
      <c r="B21" s="27">
        <v>8.1920633845763859</v>
      </c>
      <c r="C21" s="27">
        <v>-17.560650589082176</v>
      </c>
      <c r="D21" s="17">
        <v>9.8800000000000008</v>
      </c>
      <c r="E21" s="18">
        <v>47.59</v>
      </c>
    </row>
    <row r="22" spans="1:14" x14ac:dyDescent="0.3">
      <c r="A22" s="3" t="s">
        <v>16</v>
      </c>
    </row>
    <row r="24" spans="1:14" x14ac:dyDescent="0.3">
      <c r="A24" s="2" t="s">
        <v>25</v>
      </c>
      <c r="B24"/>
      <c r="C24"/>
      <c r="D24"/>
      <c r="E24"/>
      <c r="F24"/>
      <c r="G24"/>
      <c r="H24"/>
      <c r="I24"/>
      <c r="J24"/>
      <c r="K24"/>
      <c r="L24"/>
      <c r="M24"/>
      <c r="N24"/>
    </row>
    <row r="25" spans="1:14" ht="16.2" x14ac:dyDescent="0.3">
      <c r="A25" s="19" t="s">
        <v>0</v>
      </c>
      <c r="B25" s="20" t="s">
        <v>1</v>
      </c>
      <c r="C25" s="21" t="s">
        <v>20</v>
      </c>
      <c r="D25" s="22" t="s">
        <v>22</v>
      </c>
      <c r="E25" s="9"/>
      <c r="F25"/>
      <c r="G25"/>
      <c r="H25"/>
      <c r="I25"/>
      <c r="J25"/>
      <c r="K25"/>
      <c r="L25"/>
      <c r="M25"/>
      <c r="N25"/>
    </row>
    <row r="26" spans="1:14" x14ac:dyDescent="0.3">
      <c r="A26" s="33" t="s">
        <v>32</v>
      </c>
      <c r="B26" s="28" t="s">
        <v>18</v>
      </c>
      <c r="C26" s="13">
        <v>-5.0140000000000002</v>
      </c>
      <c r="D26" s="14">
        <v>-23.01</v>
      </c>
      <c r="E26"/>
      <c r="F26"/>
      <c r="G26"/>
      <c r="H26"/>
      <c r="I26"/>
      <c r="J26"/>
      <c r="K26"/>
      <c r="L26"/>
      <c r="M26"/>
      <c r="N26"/>
    </row>
    <row r="27" spans="1:14" x14ac:dyDescent="0.3">
      <c r="A27" s="29" t="s">
        <v>33</v>
      </c>
      <c r="B27" s="30" t="s">
        <v>19</v>
      </c>
      <c r="C27" s="31">
        <v>1.95</v>
      </c>
      <c r="D27" s="32">
        <v>-2.2000000000000002</v>
      </c>
      <c r="E27"/>
      <c r="F27"/>
      <c r="G27"/>
      <c r="H27"/>
      <c r="I27"/>
      <c r="J27"/>
      <c r="K27"/>
      <c r="L27"/>
      <c r="M27"/>
      <c r="N27"/>
    </row>
    <row r="28" spans="1:14" x14ac:dyDescent="0.3">
      <c r="A28"/>
      <c r="B28"/>
      <c r="C28"/>
      <c r="D28"/>
      <c r="E28"/>
      <c r="F28"/>
      <c r="G28"/>
      <c r="H28"/>
      <c r="I28"/>
      <c r="J28"/>
      <c r="K28"/>
      <c r="L28"/>
      <c r="M28"/>
      <c r="N28"/>
    </row>
    <row r="29" spans="1:14" x14ac:dyDescent="0.3">
      <c r="A29" s="1" t="s">
        <v>24</v>
      </c>
      <c r="B29"/>
      <c r="C29"/>
      <c r="D29"/>
      <c r="E29"/>
      <c r="F29"/>
      <c r="G29"/>
      <c r="H29" s="1"/>
      <c r="I29" s="1" t="s">
        <v>23</v>
      </c>
      <c r="J29"/>
      <c r="K29"/>
      <c r="L29"/>
      <c r="M29"/>
      <c r="N29"/>
    </row>
    <row r="30" spans="1:14" ht="45" x14ac:dyDescent="0.3">
      <c r="A30" s="41" t="s">
        <v>0</v>
      </c>
      <c r="B30" s="21" t="s">
        <v>20</v>
      </c>
      <c r="C30" s="22" t="s">
        <v>22</v>
      </c>
      <c r="D30"/>
      <c r="E30"/>
      <c r="F30"/>
      <c r="G30"/>
      <c r="H30"/>
      <c r="I30" s="41" t="s">
        <v>0</v>
      </c>
      <c r="J30" s="21" t="s">
        <v>20</v>
      </c>
      <c r="K30" s="22" t="s">
        <v>22</v>
      </c>
      <c r="L30"/>
      <c r="M30"/>
      <c r="N30"/>
    </row>
    <row r="31" spans="1:14" x14ac:dyDescent="0.3">
      <c r="A31" s="34" t="s">
        <v>32</v>
      </c>
      <c r="B31" s="35">
        <v>-4.9897614533288124</v>
      </c>
      <c r="C31" s="36">
        <v>-22.937407934465462</v>
      </c>
      <c r="D31"/>
      <c r="E31"/>
      <c r="F31"/>
      <c r="G31"/>
      <c r="H31"/>
      <c r="I31" s="34" t="s">
        <v>17</v>
      </c>
      <c r="J31" s="35">
        <v>-4.9748909448382692</v>
      </c>
      <c r="K31" s="36">
        <v>-22.969800211860633</v>
      </c>
      <c r="L31"/>
      <c r="M31"/>
      <c r="N31"/>
    </row>
    <row r="32" spans="1:14" x14ac:dyDescent="0.3">
      <c r="A32" s="34" t="s">
        <v>32</v>
      </c>
      <c r="B32" s="35">
        <v>-5.0297987026582174</v>
      </c>
      <c r="C32" s="36">
        <v>-23.081291683896588</v>
      </c>
      <c r="D32"/>
      <c r="E32"/>
      <c r="F32"/>
      <c r="G32"/>
      <c r="H32"/>
      <c r="I32" s="34" t="s">
        <v>17</v>
      </c>
      <c r="J32" s="35">
        <v>-5.0442606935742944</v>
      </c>
      <c r="K32" s="36">
        <v>-23.049463481853966</v>
      </c>
      <c r="L32"/>
      <c r="M32"/>
      <c r="N32"/>
    </row>
    <row r="33" spans="1:14" x14ac:dyDescent="0.3">
      <c r="A33" s="34" t="s">
        <v>32</v>
      </c>
      <c r="B33" s="35">
        <v>-5.0223379842443059</v>
      </c>
      <c r="C33" s="36">
        <v>-23.151316638545158</v>
      </c>
      <c r="D33"/>
      <c r="E33"/>
      <c r="F33"/>
      <c r="G33"/>
      <c r="H33"/>
      <c r="I33" s="34" t="s">
        <v>17</v>
      </c>
      <c r="J33" s="35">
        <v>-4.9983560156844842</v>
      </c>
      <c r="K33" s="36">
        <v>-23.049443544676141</v>
      </c>
      <c r="L33"/>
      <c r="M33"/>
      <c r="N33"/>
    </row>
    <row r="34" spans="1:14" x14ac:dyDescent="0.3">
      <c r="A34" s="34" t="s">
        <v>32</v>
      </c>
      <c r="B34" s="35">
        <v>-4.9973248150962961</v>
      </c>
      <c r="C34" s="36">
        <v>-22.866234852255108</v>
      </c>
      <c r="D34"/>
      <c r="E34"/>
      <c r="F34"/>
      <c r="G34"/>
      <c r="H34"/>
      <c r="I34" s="34" t="s">
        <v>17</v>
      </c>
      <c r="J34" s="35">
        <v>-5.0214089394814287</v>
      </c>
      <c r="K34" s="36">
        <v>-22.969908514376822</v>
      </c>
      <c r="L34"/>
      <c r="M34"/>
      <c r="N34"/>
    </row>
    <row r="35" spans="1:14" x14ac:dyDescent="0.3">
      <c r="A35" s="34" t="s">
        <v>33</v>
      </c>
      <c r="B35" s="37">
        <v>1.9667106176550666</v>
      </c>
      <c r="C35" s="38">
        <v>-2.1665483269324763</v>
      </c>
      <c r="D35"/>
      <c r="E35"/>
      <c r="F35"/>
      <c r="G35"/>
      <c r="H35"/>
      <c r="I35" s="34" t="s">
        <v>17</v>
      </c>
      <c r="J35" s="35">
        <v>-5.0223379842443059</v>
      </c>
      <c r="K35" s="36">
        <v>-23.151316638545158</v>
      </c>
      <c r="L35"/>
      <c r="M35"/>
      <c r="N35"/>
    </row>
    <row r="36" spans="1:14" x14ac:dyDescent="0.3">
      <c r="A36" s="34" t="s">
        <v>33</v>
      </c>
      <c r="B36" s="37">
        <v>1.9777208612206527</v>
      </c>
      <c r="C36" s="38">
        <v>-2.1992942836995595</v>
      </c>
      <c r="D36"/>
      <c r="E36"/>
      <c r="F36"/>
      <c r="G36"/>
      <c r="H36"/>
      <c r="I36" s="34" t="s">
        <v>17</v>
      </c>
      <c r="J36" s="35">
        <v>-4.9973248150962961</v>
      </c>
      <c r="K36" s="36">
        <v>-22.866234852255108</v>
      </c>
      <c r="L36"/>
      <c r="M36"/>
      <c r="N36"/>
    </row>
    <row r="37" spans="1:14" x14ac:dyDescent="0.3">
      <c r="A37" s="34" t="s">
        <v>33</v>
      </c>
      <c r="B37" s="37">
        <v>1.9386845431244839</v>
      </c>
      <c r="C37" s="38">
        <v>-2.1268562581238903</v>
      </c>
      <c r="D37"/>
      <c r="E37"/>
      <c r="F37"/>
      <c r="G37"/>
      <c r="H37"/>
      <c r="I37" s="34" t="s">
        <v>4</v>
      </c>
      <c r="J37" s="42">
        <v>1.9138267122522241</v>
      </c>
      <c r="K37" s="43">
        <v>-2.1737035801003852</v>
      </c>
      <c r="L37"/>
      <c r="M37"/>
      <c r="N37"/>
    </row>
    <row r="38" spans="1:14" x14ac:dyDescent="0.3">
      <c r="A38" s="34" t="s">
        <v>33</v>
      </c>
      <c r="B38" s="37">
        <v>1.9406864055909541</v>
      </c>
      <c r="C38" s="38">
        <v>-2.273716912715658</v>
      </c>
      <c r="D38"/>
      <c r="E38"/>
      <c r="F38"/>
      <c r="G38"/>
      <c r="H38"/>
      <c r="I38" s="34" t="s">
        <v>4</v>
      </c>
      <c r="J38" s="42">
        <v>1.9932500477615864</v>
      </c>
      <c r="K38" s="43">
        <v>-2.1079813823558831</v>
      </c>
      <c r="L38"/>
      <c r="M38"/>
      <c r="N38"/>
    </row>
    <row r="39" spans="1:14" x14ac:dyDescent="0.3">
      <c r="A39" s="34" t="s">
        <v>33</v>
      </c>
      <c r="B39" s="37">
        <v>1.959704099022421</v>
      </c>
      <c r="C39" s="38">
        <v>-2.1983019819793448</v>
      </c>
      <c r="D39"/>
      <c r="E39"/>
      <c r="F39"/>
      <c r="G39"/>
      <c r="H39"/>
      <c r="I39" s="34" t="s">
        <v>4</v>
      </c>
      <c r="J39" s="42">
        <v>1.9560517767002392</v>
      </c>
      <c r="K39" s="43">
        <v>-2.2065646789726361</v>
      </c>
      <c r="L39"/>
      <c r="M39"/>
      <c r="N39"/>
    </row>
    <row r="40" spans="1:14" x14ac:dyDescent="0.3">
      <c r="A40" s="34" t="s">
        <v>33</v>
      </c>
      <c r="B40" s="37">
        <v>1.9336798869583087</v>
      </c>
      <c r="C40" s="38">
        <v>-2.234024843907072</v>
      </c>
      <c r="D40"/>
      <c r="E40"/>
      <c r="F40"/>
      <c r="G40"/>
      <c r="H40"/>
      <c r="I40" s="34" t="s">
        <v>4</v>
      </c>
      <c r="J40" s="42">
        <v>1.9530357006682384</v>
      </c>
      <c r="K40" s="43">
        <v>-2.2274762873458864</v>
      </c>
      <c r="L40"/>
      <c r="M40"/>
      <c r="N40"/>
    </row>
    <row r="41" spans="1:14" x14ac:dyDescent="0.3">
      <c r="A41" s="34" t="s">
        <v>33</v>
      </c>
      <c r="B41" s="37">
        <v>1.9567013053227156</v>
      </c>
      <c r="C41" s="38">
        <v>-2.1586099131707592</v>
      </c>
      <c r="D41"/>
      <c r="E41"/>
      <c r="F41"/>
      <c r="G41"/>
      <c r="H41"/>
      <c r="I41" s="34" t="s">
        <v>4</v>
      </c>
      <c r="J41" s="44">
        <v>1.943987472572235</v>
      </c>
      <c r="K41" s="45">
        <v>-2.2254847055960534</v>
      </c>
      <c r="L41"/>
      <c r="M41"/>
      <c r="N41"/>
    </row>
    <row r="42" spans="1:14" x14ac:dyDescent="0.3">
      <c r="A42" s="34" t="s">
        <v>33</v>
      </c>
      <c r="B42" s="37">
        <v>1.9256724370924279</v>
      </c>
      <c r="C42" s="38">
        <v>-2.2439478611092185</v>
      </c>
      <c r="D42"/>
      <c r="E42"/>
      <c r="F42"/>
      <c r="G42"/>
      <c r="H42"/>
      <c r="I42" s="34" t="s">
        <v>4</v>
      </c>
      <c r="J42" s="44">
        <v>1.9349392444762317</v>
      </c>
      <c r="K42" s="45">
        <v>-2.2195099603465529</v>
      </c>
      <c r="L42"/>
      <c r="M42"/>
      <c r="N42"/>
    </row>
    <row r="43" spans="1:14" x14ac:dyDescent="0.3">
      <c r="A43" s="34" t="s">
        <v>33</v>
      </c>
      <c r="B43" s="37">
        <v>1.9513335742207156</v>
      </c>
      <c r="C43" s="38">
        <v>-2.231314959702571</v>
      </c>
      <c r="D43"/>
      <c r="E43"/>
      <c r="F43"/>
      <c r="G43"/>
      <c r="H43"/>
      <c r="I43" s="34" t="s">
        <v>4</v>
      </c>
      <c r="J43" s="42">
        <v>1.9530357006682384</v>
      </c>
      <c r="K43" s="43">
        <v>-2.2065646789726361</v>
      </c>
      <c r="L43"/>
      <c r="M43"/>
      <c r="N43"/>
    </row>
    <row r="44" spans="1:14" x14ac:dyDescent="0.3">
      <c r="A44" s="34" t="s">
        <v>33</v>
      </c>
      <c r="B44" s="37">
        <v>1.9523341009866362</v>
      </c>
      <c r="C44" s="38">
        <v>-2.1632954457807343</v>
      </c>
      <c r="D44"/>
      <c r="E44"/>
      <c r="F44"/>
      <c r="G44"/>
      <c r="H44"/>
      <c r="I44" s="34" t="s">
        <v>4</v>
      </c>
      <c r="J44" s="42">
        <v>1.9510249833135709</v>
      </c>
      <c r="K44" s="43">
        <v>-2.2334510325953869</v>
      </c>
      <c r="L44"/>
      <c r="M44"/>
      <c r="N44"/>
    </row>
    <row r="45" spans="1:14" x14ac:dyDescent="0.3">
      <c r="A45" s="34" t="s">
        <v>33</v>
      </c>
      <c r="B45" s="37">
        <v>1.96333989541176</v>
      </c>
      <c r="C45" s="38">
        <v>-2.2323152466720098</v>
      </c>
      <c r="D45"/>
      <c r="E45"/>
      <c r="F45"/>
      <c r="G45"/>
      <c r="H45"/>
      <c r="I45" s="34" t="s">
        <v>4</v>
      </c>
      <c r="J45" s="42">
        <v>1.9666338740967919</v>
      </c>
      <c r="K45" s="43">
        <v>-2.159567836559666</v>
      </c>
      <c r="L45"/>
      <c r="M45"/>
      <c r="N45"/>
    </row>
    <row r="46" spans="1:14" x14ac:dyDescent="0.3">
      <c r="A46" s="34" t="s">
        <v>33</v>
      </c>
      <c r="B46" s="37">
        <v>1.9573367348162378</v>
      </c>
      <c r="C46" s="38">
        <v>-2.1532925760863462</v>
      </c>
      <c r="D46"/>
      <c r="E46"/>
      <c r="F46"/>
      <c r="G46"/>
      <c r="H46"/>
      <c r="I46" s="34" t="s">
        <v>4</v>
      </c>
      <c r="J46" s="42">
        <v>1.9465878534037964</v>
      </c>
      <c r="K46" s="43">
        <v>-2.1386898911060945</v>
      </c>
      <c r="L46"/>
      <c r="M46"/>
      <c r="N46"/>
    </row>
    <row r="47" spans="1:14" x14ac:dyDescent="0.3">
      <c r="A47" s="34" t="s">
        <v>33</v>
      </c>
      <c r="B47" s="37">
        <v>1.9523341009866362</v>
      </c>
      <c r="C47" s="38">
        <v>-2.1853017591083872</v>
      </c>
      <c r="D47"/>
      <c r="E47"/>
      <c r="F47"/>
      <c r="G47"/>
      <c r="H47"/>
      <c r="I47" s="34" t="s">
        <v>4</v>
      </c>
      <c r="J47" s="42">
        <v>1.9726476803046904</v>
      </c>
      <c r="K47" s="43">
        <v>-2.1883992850431695</v>
      </c>
      <c r="L47"/>
      <c r="M47"/>
      <c r="N47"/>
    </row>
    <row r="48" spans="1:14" x14ac:dyDescent="0.3">
      <c r="A48" s="34" t="s">
        <v>33</v>
      </c>
      <c r="B48" s="37">
        <v>1.9523341009866362</v>
      </c>
      <c r="C48" s="38">
        <v>-2.2423181163663974</v>
      </c>
      <c r="D48"/>
      <c r="E48"/>
      <c r="F48"/>
      <c r="G48"/>
      <c r="H48"/>
      <c r="I48" s="34" t="s">
        <v>4</v>
      </c>
      <c r="J48" s="42">
        <v>1.9515993585770453</v>
      </c>
      <c r="K48" s="43">
        <v>-2.2490447456464011</v>
      </c>
      <c r="L48"/>
      <c r="M48"/>
      <c r="N48"/>
    </row>
    <row r="49" spans="1:14" x14ac:dyDescent="0.3">
      <c r="A49" s="34" t="s">
        <v>33</v>
      </c>
      <c r="B49" s="37">
        <v>1.9613388418799194</v>
      </c>
      <c r="C49" s="38">
        <v>-2.1602945848724175</v>
      </c>
      <c r="D49"/>
      <c r="E49"/>
      <c r="F49"/>
      <c r="G49"/>
      <c r="H49"/>
      <c r="I49" s="34" t="s">
        <v>4</v>
      </c>
      <c r="J49" s="42">
        <v>1.9345602409879992</v>
      </c>
      <c r="K49" s="43">
        <v>-2.209277230496741</v>
      </c>
      <c r="L49"/>
      <c r="M49"/>
      <c r="N49"/>
    </row>
    <row r="50" spans="1:14" x14ac:dyDescent="0.3">
      <c r="A50" s="29" t="s">
        <v>33</v>
      </c>
      <c r="B50" s="39">
        <v>1.90931145005206</v>
      </c>
      <c r="C50" s="40">
        <v>-2.2343158206108868</v>
      </c>
      <c r="D50"/>
      <c r="E50"/>
      <c r="F50"/>
      <c r="G50"/>
      <c r="H50"/>
      <c r="I50" s="34" t="s">
        <v>4</v>
      </c>
      <c r="J50" s="42">
        <v>1.9335579399533493</v>
      </c>
      <c r="K50" s="43">
        <v>-2.209277230496741</v>
      </c>
      <c r="L50"/>
      <c r="M50"/>
      <c r="N50"/>
    </row>
    <row r="51" spans="1:14" x14ac:dyDescent="0.3">
      <c r="A51" t="s">
        <v>34</v>
      </c>
      <c r="B51"/>
      <c r="C51"/>
      <c r="D51"/>
      <c r="E51"/>
      <c r="F51"/>
      <c r="G51"/>
      <c r="H51"/>
      <c r="I51" s="34" t="s">
        <v>4</v>
      </c>
      <c r="J51" s="42">
        <v>1.9515993585770453</v>
      </c>
      <c r="K51" s="43">
        <v>-2.1993353517093261</v>
      </c>
      <c r="L51"/>
      <c r="M51"/>
      <c r="N51"/>
    </row>
    <row r="52" spans="1:14" x14ac:dyDescent="0.3">
      <c r="A52" s="3" t="s">
        <v>35</v>
      </c>
      <c r="B52"/>
      <c r="C52"/>
      <c r="D52"/>
      <c r="E52"/>
      <c r="F52"/>
      <c r="G52"/>
      <c r="H52"/>
      <c r="I52" s="34" t="s">
        <v>4</v>
      </c>
      <c r="J52" s="42">
        <v>1.9425786492651973</v>
      </c>
      <c r="K52" s="43">
        <v>-2.2470563698889183</v>
      </c>
      <c r="L52"/>
      <c r="M52"/>
      <c r="N52"/>
    </row>
    <row r="53" spans="1:14" x14ac:dyDescent="0.3">
      <c r="A53" s="2"/>
      <c r="B53"/>
      <c r="C53"/>
      <c r="D53"/>
      <c r="E53"/>
      <c r="F53"/>
      <c r="G53"/>
      <c r="H53"/>
      <c r="I53" s="34" t="s">
        <v>4</v>
      </c>
      <c r="J53" s="42">
        <v>1.9513335742207156</v>
      </c>
      <c r="K53" s="43">
        <v>-2.231314959702571</v>
      </c>
      <c r="L53"/>
      <c r="M53"/>
      <c r="N53"/>
    </row>
    <row r="54" spans="1:14" x14ac:dyDescent="0.3">
      <c r="A54" s="2"/>
      <c r="B54"/>
      <c r="C54"/>
      <c r="D54"/>
      <c r="E54"/>
      <c r="F54"/>
      <c r="G54"/>
      <c r="H54"/>
      <c r="I54" s="34" t="s">
        <v>4</v>
      </c>
      <c r="J54" s="42">
        <v>1.9523341009866362</v>
      </c>
      <c r="K54" s="43">
        <v>-2.1632954457807343</v>
      </c>
      <c r="L54"/>
      <c r="M54"/>
      <c r="N54"/>
    </row>
    <row r="55" spans="1:14" ht="16.2" x14ac:dyDescent="0.3">
      <c r="A55" s="2" t="s">
        <v>55</v>
      </c>
      <c r="B55"/>
      <c r="C55"/>
      <c r="D55"/>
      <c r="E55"/>
      <c r="F55"/>
      <c r="G55"/>
      <c r="H55"/>
      <c r="I55" s="34" t="s">
        <v>4</v>
      </c>
      <c r="J55" s="42">
        <v>1.96333989541176</v>
      </c>
      <c r="K55" s="43">
        <v>-2.2323152466720098</v>
      </c>
      <c r="L55"/>
      <c r="M55"/>
      <c r="N55"/>
    </row>
    <row r="56" spans="1:14" ht="16.2" x14ac:dyDescent="0.3">
      <c r="A56" s="19" t="s">
        <v>0</v>
      </c>
      <c r="B56" s="20" t="s">
        <v>1</v>
      </c>
      <c r="C56" s="52" t="s">
        <v>29</v>
      </c>
      <c r="D56" s="8"/>
      <c r="E56"/>
      <c r="F56"/>
      <c r="G56"/>
      <c r="H56"/>
      <c r="I56" s="34" t="s">
        <v>4</v>
      </c>
      <c r="J56" s="42">
        <v>1.9573367348162378</v>
      </c>
      <c r="K56" s="43">
        <v>-2.1532925760863462</v>
      </c>
      <c r="L56"/>
      <c r="M56"/>
      <c r="N56"/>
    </row>
    <row r="57" spans="1:14" x14ac:dyDescent="0.3">
      <c r="A57" s="49" t="s">
        <v>31</v>
      </c>
      <c r="B57" s="50" t="s">
        <v>36</v>
      </c>
      <c r="C57" s="51" t="s">
        <v>56</v>
      </c>
      <c r="D57"/>
      <c r="E57"/>
      <c r="F57"/>
      <c r="G57"/>
      <c r="H57"/>
      <c r="I57" s="34" t="s">
        <v>4</v>
      </c>
      <c r="J57" s="42">
        <v>1.9523341009866362</v>
      </c>
      <c r="K57" s="43">
        <v>-2.1853017591083872</v>
      </c>
      <c r="L57"/>
      <c r="M57"/>
      <c r="N57"/>
    </row>
    <row r="58" spans="1:14" x14ac:dyDescent="0.3">
      <c r="A58" s="2"/>
      <c r="B58"/>
      <c r="C58"/>
      <c r="D58"/>
      <c r="E58"/>
      <c r="F58"/>
      <c r="G58"/>
      <c r="H58"/>
      <c r="I58" s="34" t="s">
        <v>4</v>
      </c>
      <c r="J58" s="42">
        <v>1.9523341009866362</v>
      </c>
      <c r="K58" s="43">
        <v>-2.2423181163663974</v>
      </c>
      <c r="L58"/>
      <c r="M58"/>
      <c r="N58"/>
    </row>
    <row r="59" spans="1:14" x14ac:dyDescent="0.3">
      <c r="A59"/>
      <c r="B59"/>
      <c r="C59"/>
      <c r="D59"/>
      <c r="E59"/>
      <c r="F59"/>
      <c r="G59"/>
      <c r="H59"/>
      <c r="I59" s="34" t="s">
        <v>4</v>
      </c>
      <c r="J59" s="42">
        <v>1.9613388418799194</v>
      </c>
      <c r="K59" s="43">
        <v>-2.1602945848724175</v>
      </c>
      <c r="L59"/>
      <c r="M59"/>
      <c r="N59"/>
    </row>
    <row r="60" spans="1:14" ht="16.2" x14ac:dyDescent="0.3">
      <c r="A60" s="1" t="s">
        <v>53</v>
      </c>
      <c r="B60"/>
      <c r="C60"/>
      <c r="D60"/>
      <c r="E60"/>
      <c r="F60"/>
      <c r="G60"/>
      <c r="H60"/>
      <c r="I60" s="29" t="s">
        <v>4</v>
      </c>
      <c r="J60" s="46">
        <v>1.90931145005206</v>
      </c>
      <c r="K60" s="47">
        <v>-2.2343158206108868</v>
      </c>
      <c r="L60"/>
      <c r="M60"/>
      <c r="N60"/>
    </row>
    <row r="61" spans="1:14" ht="16.2" x14ac:dyDescent="0.3">
      <c r="A61" s="48" t="s">
        <v>0</v>
      </c>
      <c r="B61" s="53" t="s">
        <v>29</v>
      </c>
      <c r="C61" s="52" t="s">
        <v>30</v>
      </c>
      <c r="D61"/>
      <c r="E61"/>
      <c r="F61"/>
      <c r="G61"/>
      <c r="H61"/>
      <c r="I61" s="3" t="s">
        <v>26</v>
      </c>
      <c r="J61"/>
      <c r="K61"/>
      <c r="L61"/>
      <c r="M61"/>
      <c r="N61"/>
    </row>
    <row r="62" spans="1:14" x14ac:dyDescent="0.3">
      <c r="A62" s="11" t="s">
        <v>31</v>
      </c>
      <c r="B62" s="54">
        <v>0.71025499999999997</v>
      </c>
      <c r="C62" s="55">
        <v>1.2E-5</v>
      </c>
      <c r="D62"/>
      <c r="E62"/>
      <c r="F62"/>
      <c r="G62"/>
      <c r="H62"/>
      <c r="I62"/>
      <c r="J62"/>
      <c r="K62"/>
      <c r="L62"/>
      <c r="M62"/>
      <c r="N62"/>
    </row>
    <row r="63" spans="1:14" x14ac:dyDescent="0.3">
      <c r="A63" s="11" t="s">
        <v>31</v>
      </c>
      <c r="B63" s="54">
        <v>0.71025300000000002</v>
      </c>
      <c r="C63" s="55">
        <v>1.4E-5</v>
      </c>
      <c r="D63"/>
      <c r="E63"/>
      <c r="F63"/>
      <c r="G63"/>
      <c r="H63"/>
      <c r="L63"/>
      <c r="M63"/>
      <c r="N63"/>
    </row>
    <row r="64" spans="1:14" x14ac:dyDescent="0.3">
      <c r="A64" s="11" t="s">
        <v>31</v>
      </c>
      <c r="B64" s="54">
        <v>0.71027399999999996</v>
      </c>
      <c r="C64" s="55">
        <v>1.4E-5</v>
      </c>
      <c r="D64"/>
      <c r="E64"/>
      <c r="F64"/>
    </row>
    <row r="65" spans="1:7" x14ac:dyDescent="0.3">
      <c r="A65" s="11" t="s">
        <v>31</v>
      </c>
      <c r="B65" s="54">
        <v>0.71023899999999995</v>
      </c>
      <c r="C65" s="55">
        <v>1.5E-5</v>
      </c>
      <c r="D65"/>
      <c r="E65"/>
      <c r="F65"/>
    </row>
    <row r="66" spans="1:7" x14ac:dyDescent="0.3">
      <c r="A66" s="11" t="s">
        <v>31</v>
      </c>
      <c r="B66" s="54">
        <v>0.71024100000000001</v>
      </c>
      <c r="C66" s="55">
        <v>1.1E-5</v>
      </c>
      <c r="D66"/>
      <c r="E66"/>
      <c r="F66"/>
    </row>
    <row r="67" spans="1:7" x14ac:dyDescent="0.3">
      <c r="A67" s="11" t="s">
        <v>31</v>
      </c>
      <c r="B67" s="54">
        <v>0.71025300000000002</v>
      </c>
      <c r="C67" s="55">
        <v>1.1E-5</v>
      </c>
      <c r="D67"/>
      <c r="E67"/>
      <c r="F67"/>
    </row>
    <row r="68" spans="1:7" x14ac:dyDescent="0.3">
      <c r="A68" s="11" t="s">
        <v>31</v>
      </c>
      <c r="B68" s="54">
        <v>0.71024200000000004</v>
      </c>
      <c r="C68" s="55">
        <v>1.8E-5</v>
      </c>
      <c r="D68"/>
      <c r="E68"/>
      <c r="F68"/>
    </row>
    <row r="69" spans="1:7" x14ac:dyDescent="0.3">
      <c r="A69" s="11" t="s">
        <v>31</v>
      </c>
      <c r="B69" s="13">
        <v>0.71025199999999999</v>
      </c>
      <c r="C69" s="14">
        <v>2.0999999999999999E-5</v>
      </c>
      <c r="E69"/>
      <c r="F69"/>
    </row>
    <row r="70" spans="1:7" x14ac:dyDescent="0.3">
      <c r="A70" s="11" t="s">
        <v>31</v>
      </c>
      <c r="B70" s="13">
        <v>0.71024200000000004</v>
      </c>
      <c r="C70" s="14">
        <v>1.5999999999999999E-5</v>
      </c>
      <c r="F70"/>
    </row>
    <row r="71" spans="1:7" x14ac:dyDescent="0.3">
      <c r="A71" s="11" t="s">
        <v>31</v>
      </c>
      <c r="B71" s="13">
        <v>0.71023199999999997</v>
      </c>
      <c r="C71" s="14">
        <v>2.1999999999999999E-5</v>
      </c>
      <c r="F71"/>
    </row>
    <row r="72" spans="1:7" x14ac:dyDescent="0.3">
      <c r="A72" s="11" t="s">
        <v>31</v>
      </c>
      <c r="B72" s="13">
        <v>0.71022700000000005</v>
      </c>
      <c r="C72" s="14">
        <v>2.0999999999999999E-5</v>
      </c>
      <c r="F72"/>
    </row>
    <row r="73" spans="1:7" x14ac:dyDescent="0.3">
      <c r="A73" s="11" t="s">
        <v>31</v>
      </c>
      <c r="B73" s="13">
        <v>0.71024799999999999</v>
      </c>
      <c r="C73" s="14">
        <v>1.8E-5</v>
      </c>
    </row>
    <row r="74" spans="1:7" x14ac:dyDescent="0.3">
      <c r="A74" s="11" t="s">
        <v>31</v>
      </c>
      <c r="B74" s="13">
        <v>0.71024100000000001</v>
      </c>
      <c r="C74" s="14">
        <v>1.7E-5</v>
      </c>
      <c r="F74" s="12"/>
    </row>
    <row r="75" spans="1:7" x14ac:dyDescent="0.3">
      <c r="A75" s="11" t="s">
        <v>31</v>
      </c>
      <c r="B75" s="13">
        <v>0.71019699999999997</v>
      </c>
      <c r="C75" s="14">
        <v>1.4E-5</v>
      </c>
    </row>
    <row r="76" spans="1:7" x14ac:dyDescent="0.3">
      <c r="A76" s="11" t="s">
        <v>31</v>
      </c>
      <c r="B76" s="56">
        <v>0.71028999999999998</v>
      </c>
      <c r="C76" s="57">
        <v>1.0000000000000001E-5</v>
      </c>
      <c r="G76" s="10"/>
    </row>
    <row r="77" spans="1:7" x14ac:dyDescent="0.3">
      <c r="A77" s="11" t="s">
        <v>31</v>
      </c>
      <c r="B77" s="56">
        <v>0.71023999999999998</v>
      </c>
      <c r="C77" s="14">
        <v>1.5999999999999999E-5</v>
      </c>
    </row>
    <row r="78" spans="1:7" x14ac:dyDescent="0.3">
      <c r="A78" s="11" t="s">
        <v>31</v>
      </c>
      <c r="B78" s="13">
        <v>0.71025400000000005</v>
      </c>
      <c r="C78" s="14">
        <v>1.5E-5</v>
      </c>
      <c r="F78" s="7"/>
    </row>
    <row r="79" spans="1:7" x14ac:dyDescent="0.3">
      <c r="A79" s="11" t="s">
        <v>31</v>
      </c>
      <c r="B79" s="13">
        <v>0.71021699999999999</v>
      </c>
      <c r="C79" s="14">
        <v>1.5E-5</v>
      </c>
    </row>
    <row r="80" spans="1:7" x14ac:dyDescent="0.3">
      <c r="A80" s="11" t="s">
        <v>37</v>
      </c>
      <c r="B80" s="56">
        <f>AVERAGE(B62:B79)</f>
        <v>0.71024427777777788</v>
      </c>
      <c r="C80" s="24"/>
      <c r="E80" s="12"/>
    </row>
    <row r="81" spans="1:9" x14ac:dyDescent="0.3">
      <c r="A81" s="11" t="s">
        <v>28</v>
      </c>
      <c r="B81" s="66">
        <v>2.0169299779484933E-5</v>
      </c>
      <c r="C81" s="24"/>
      <c r="E81" s="12"/>
    </row>
    <row r="82" spans="1:9" x14ac:dyDescent="0.3">
      <c r="A82" s="15" t="s">
        <v>57</v>
      </c>
      <c r="B82" s="58">
        <f>B81*2</f>
        <v>4.0338599558969867E-5</v>
      </c>
      <c r="C82" s="25"/>
      <c r="E82" s="12"/>
    </row>
    <row r="83" spans="1:9" x14ac:dyDescent="0.3">
      <c r="A83" s="4"/>
      <c r="B83" s="7"/>
    </row>
    <row r="84" spans="1:9" ht="16.2" x14ac:dyDescent="0.3">
      <c r="A84" s="1" t="s">
        <v>54</v>
      </c>
      <c r="B84"/>
      <c r="C84"/>
    </row>
    <row r="85" spans="1:9" ht="16.2" x14ac:dyDescent="0.3">
      <c r="A85" s="48" t="s">
        <v>0</v>
      </c>
      <c r="B85" s="53" t="s">
        <v>29</v>
      </c>
      <c r="C85" s="52" t="s">
        <v>30</v>
      </c>
    </row>
    <row r="86" spans="1:9" x14ac:dyDescent="0.3">
      <c r="A86" s="11" t="s">
        <v>31</v>
      </c>
      <c r="B86" s="56">
        <v>0.71024860000000001</v>
      </c>
      <c r="C86" s="57">
        <v>7.1999999999999997E-6</v>
      </c>
      <c r="I86" s="10"/>
    </row>
    <row r="87" spans="1:9" x14ac:dyDescent="0.3">
      <c r="A87" s="11" t="s">
        <v>31</v>
      </c>
      <c r="B87" s="56">
        <v>0.71025249999999995</v>
      </c>
      <c r="C87" s="14">
        <v>1.2E-5</v>
      </c>
      <c r="H87" s="10"/>
    </row>
    <row r="88" spans="1:9" x14ac:dyDescent="0.3">
      <c r="A88" s="11" t="s">
        <v>31</v>
      </c>
      <c r="B88" s="56">
        <v>0.71025099999999997</v>
      </c>
      <c r="C88" s="57">
        <v>8.6000000000000007E-6</v>
      </c>
    </row>
    <row r="89" spans="1:9" x14ac:dyDescent="0.3">
      <c r="A89" s="11" t="s">
        <v>31</v>
      </c>
      <c r="B89" s="56">
        <v>0.71024670000000001</v>
      </c>
      <c r="C89" s="57">
        <v>1.2E-5</v>
      </c>
    </row>
    <row r="90" spans="1:9" x14ac:dyDescent="0.3">
      <c r="A90" s="11" t="s">
        <v>31</v>
      </c>
      <c r="B90" s="56">
        <v>0.71023689999999995</v>
      </c>
      <c r="C90" s="57">
        <v>9.2E-6</v>
      </c>
    </row>
    <row r="91" spans="1:9" x14ac:dyDescent="0.3">
      <c r="A91" s="11" t="s">
        <v>37</v>
      </c>
      <c r="B91" s="56">
        <v>0.71024699999999996</v>
      </c>
      <c r="C91" s="14"/>
      <c r="E91" s="65"/>
      <c r="F91" s="65"/>
    </row>
    <row r="92" spans="1:9" x14ac:dyDescent="0.3">
      <c r="A92" s="11" t="s">
        <v>28</v>
      </c>
      <c r="B92" s="66">
        <v>6.1402768667279503E-6</v>
      </c>
      <c r="C92" s="14"/>
      <c r="E92" s="65"/>
      <c r="F92" s="65"/>
    </row>
    <row r="93" spans="1:9" x14ac:dyDescent="0.3">
      <c r="A93" s="15" t="s">
        <v>57</v>
      </c>
      <c r="B93" s="58">
        <f>2*B92</f>
        <v>1.2280553733455901E-5</v>
      </c>
      <c r="C93" s="18"/>
    </row>
    <row r="95" spans="1:9" ht="16.2" x14ac:dyDescent="0.3">
      <c r="A95" s="2" t="s">
        <v>43</v>
      </c>
    </row>
    <row r="96" spans="1:9" ht="16.2" x14ac:dyDescent="0.3">
      <c r="A96" s="19" t="s">
        <v>0</v>
      </c>
      <c r="B96" s="20" t="s">
        <v>1</v>
      </c>
      <c r="C96" s="53" t="s">
        <v>48</v>
      </c>
      <c r="D96" s="52" t="s">
        <v>49</v>
      </c>
    </row>
    <row r="97" spans="1:4" x14ac:dyDescent="0.3">
      <c r="A97" s="59" t="s">
        <v>44</v>
      </c>
      <c r="B97" s="12" t="s">
        <v>46</v>
      </c>
      <c r="C97" s="13">
        <v>-36.130000000000003</v>
      </c>
      <c r="D97" s="14">
        <v>-289.89</v>
      </c>
    </row>
    <row r="98" spans="1:4" x14ac:dyDescent="0.3">
      <c r="A98" s="15" t="s">
        <v>45</v>
      </c>
      <c r="B98" s="16" t="s">
        <v>46</v>
      </c>
      <c r="C98" s="17">
        <v>0.26</v>
      </c>
      <c r="D98" s="18">
        <v>0.94</v>
      </c>
    </row>
    <row r="99" spans="1:4" x14ac:dyDescent="0.3">
      <c r="A99" s="3" t="s">
        <v>47</v>
      </c>
    </row>
    <row r="101" spans="1:4" x14ac:dyDescent="0.3">
      <c r="A101" s="1" t="s">
        <v>50</v>
      </c>
      <c r="B101"/>
      <c r="C101"/>
    </row>
    <row r="102" spans="1:4" ht="16.2" x14ac:dyDescent="0.3">
      <c r="A102" s="48" t="s">
        <v>0</v>
      </c>
      <c r="B102" s="53" t="s">
        <v>48</v>
      </c>
      <c r="C102" s="52" t="s">
        <v>49</v>
      </c>
    </row>
    <row r="103" spans="1:4" x14ac:dyDescent="0.3">
      <c r="A103" s="62" t="s">
        <v>51</v>
      </c>
      <c r="B103" s="63">
        <v>-36.121281712673635</v>
      </c>
      <c r="C103" s="64">
        <v>-289.85590811564236</v>
      </c>
    </row>
    <row r="104" spans="1:4" x14ac:dyDescent="0.3">
      <c r="A104" s="59" t="s">
        <v>51</v>
      </c>
      <c r="B104" s="26">
        <v>-36.087559658079449</v>
      </c>
      <c r="C104" s="60">
        <v>-289.72523298400199</v>
      </c>
    </row>
    <row r="105" spans="1:4" x14ac:dyDescent="0.3">
      <c r="A105" s="59" t="s">
        <v>51</v>
      </c>
      <c r="B105" s="26">
        <v>-36.18115862924693</v>
      </c>
      <c r="C105" s="60">
        <v>-290.08885890035572</v>
      </c>
    </row>
    <row r="106" spans="1:4" x14ac:dyDescent="0.3">
      <c r="A106" s="11" t="s">
        <v>37</v>
      </c>
      <c r="B106" s="26">
        <v>-36.130000000000003</v>
      </c>
      <c r="C106" s="60">
        <v>-289.89</v>
      </c>
    </row>
    <row r="107" spans="1:4" x14ac:dyDescent="0.3">
      <c r="A107" s="15" t="s">
        <v>28</v>
      </c>
      <c r="B107" s="27">
        <v>4.7404622678928407E-2</v>
      </c>
      <c r="C107" s="61">
        <v>0.18</v>
      </c>
    </row>
    <row r="108" spans="1:4" x14ac:dyDescent="0.3">
      <c r="A108" s="11" t="s">
        <v>52</v>
      </c>
      <c r="B108" s="26">
        <v>0.15877229231215395</v>
      </c>
      <c r="C108" s="60">
        <v>0.49374401867089368</v>
      </c>
    </row>
    <row r="109" spans="1:4" x14ac:dyDescent="0.3">
      <c r="A109" s="11" t="s">
        <v>52</v>
      </c>
      <c r="B109" s="26">
        <v>0.43592717917091051</v>
      </c>
      <c r="C109" s="60">
        <v>1.7430331951299873</v>
      </c>
    </row>
    <row r="110" spans="1:4" x14ac:dyDescent="0.3">
      <c r="A110" s="11" t="s">
        <v>52</v>
      </c>
      <c r="B110" s="26">
        <v>0.18530052851694734</v>
      </c>
      <c r="C110" s="60">
        <v>0.58322278619922763</v>
      </c>
    </row>
    <row r="111" spans="1:4" x14ac:dyDescent="0.3">
      <c r="A111" s="11" t="s">
        <v>37</v>
      </c>
      <c r="B111" s="13">
        <v>0.26</v>
      </c>
      <c r="C111" s="14">
        <v>0.94</v>
      </c>
    </row>
    <row r="112" spans="1:4" x14ac:dyDescent="0.3">
      <c r="A112" s="15" t="s">
        <v>28</v>
      </c>
      <c r="B112" s="17">
        <v>0.15</v>
      </c>
      <c r="C112" s="61">
        <v>0.7</v>
      </c>
    </row>
  </sheetData>
  <phoneticPr fontId="1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S5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Sharpe</dc:creator>
  <cp:lastModifiedBy>Ashley Sharpe</cp:lastModifiedBy>
  <dcterms:created xsi:type="dcterms:W3CDTF">2025-08-06T15:34:08Z</dcterms:created>
  <dcterms:modified xsi:type="dcterms:W3CDTF">2025-08-28T15:44:53Z</dcterms:modified>
</cp:coreProperties>
</file>